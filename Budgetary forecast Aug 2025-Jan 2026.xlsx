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eela.Mirando\Desktop\"/>
    </mc:Choice>
  </mc:AlternateContent>
  <xr:revisionPtr revIDLastSave="0" documentId="8_{9787E927-E7C5-4E16-B1E2-728BA476D85C}" xr6:coauthVersionLast="47" xr6:coauthVersionMax="47" xr10:uidLastSave="{00000000-0000-0000-0000-000000000000}"/>
  <bookViews>
    <workbookView xWindow="-108" yWindow="-108" windowWidth="23256" windowHeight="12576" xr2:uid="{8AA6A4F1-3547-40F5-86FA-8D1CEBEA1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D39" i="1" s="1"/>
  <c r="E36" i="1"/>
  <c r="E39" i="1" s="1"/>
  <c r="F36" i="1"/>
  <c r="F37" i="1" s="1"/>
  <c r="G36" i="1"/>
  <c r="G37" i="1" s="1"/>
  <c r="H36" i="1"/>
  <c r="H37" i="1" s="1"/>
  <c r="C36" i="1"/>
  <c r="C37" i="1" s="1"/>
  <c r="E37" i="1" l="1"/>
  <c r="D37" i="1"/>
  <c r="H39" i="1"/>
  <c r="G39" i="1"/>
  <c r="F39" i="1"/>
  <c r="C39" i="1"/>
</calcChain>
</file>

<file path=xl/sharedStrings.xml><?xml version="1.0" encoding="utf-8"?>
<sst xmlns="http://schemas.openxmlformats.org/spreadsheetml/2006/main" count="123" uniqueCount="77">
  <si>
    <t>Category</t>
  </si>
  <si>
    <t>Sub-Category</t>
  </si>
  <si>
    <t>August</t>
  </si>
  <si>
    <t>September</t>
  </si>
  <si>
    <t>October</t>
  </si>
  <si>
    <t>November</t>
  </si>
  <si>
    <t>December</t>
  </si>
  <si>
    <t>January</t>
  </si>
  <si>
    <t>Notes</t>
  </si>
  <si>
    <t>Salaries &amp; Benefits</t>
  </si>
  <si>
    <t>Salaries</t>
  </si>
  <si>
    <t>Includes new hires</t>
  </si>
  <si>
    <t>EPF/ETF (20%)</t>
  </si>
  <si>
    <t>Based on salaries</t>
  </si>
  <si>
    <t>Subscriptions</t>
  </si>
  <si>
    <t>Avg Subscription</t>
  </si>
  <si>
    <t>Equipment &amp; Devices</t>
  </si>
  <si>
    <t>MacBook Purchase</t>
  </si>
  <si>
    <t>Mobile devices</t>
  </si>
  <si>
    <t>Other Devices&amp; Rents</t>
  </si>
  <si>
    <t>Recruitment</t>
  </si>
  <si>
    <t>Job Ads &amp; Interviews</t>
  </si>
  <si>
    <t>Onboarding Costs</t>
  </si>
  <si>
    <t>Operations &amp; Office</t>
  </si>
  <si>
    <t>Office Rent</t>
  </si>
  <si>
    <t>Office space advance payment</t>
  </si>
  <si>
    <t>Utilities</t>
  </si>
  <si>
    <t>Outsourcing &amp; Services</t>
  </si>
  <si>
    <t>Outsource Service </t>
  </si>
  <si>
    <t>Tech lead, Accounts, Mobile Dev</t>
  </si>
  <si>
    <t>SAS Web UI</t>
  </si>
  <si>
    <t>SAS website</t>
  </si>
  <si>
    <t>Events &amp; Engagement</t>
  </si>
  <si>
    <t>VXD event</t>
  </si>
  <si>
    <t>Attend Openday, Career fair</t>
  </si>
  <si>
    <t>SAS/VXD Photoshoot</t>
  </si>
  <si>
    <t>Spark Internship 2026</t>
  </si>
  <si>
    <t xml:space="preserve">Venue charge, book printing, </t>
  </si>
  <si>
    <t>Financial Audit</t>
  </si>
  <si>
    <t>SAS Product Release 2</t>
  </si>
  <si>
    <t>Christmas Party</t>
  </si>
  <si>
    <t>Graduation Lunch</t>
  </si>
  <si>
    <t>end the spark 2025 with certificates</t>
  </si>
  <si>
    <t>Marketing</t>
  </si>
  <si>
    <t>SAS Social Media Campaign</t>
  </si>
  <si>
    <t>Other</t>
  </si>
  <si>
    <t>Other expenses</t>
  </si>
  <si>
    <t>Monthly Total AUD</t>
  </si>
  <si>
    <t>MacBook Purchase List</t>
  </si>
  <si>
    <t>New Hiring List</t>
  </si>
  <si>
    <t>PM</t>
  </si>
  <si>
    <t>UI </t>
  </si>
  <si>
    <t>SSE</t>
  </si>
  <si>
    <t>SE</t>
  </si>
  <si>
    <t>QA</t>
  </si>
  <si>
    <t>HR</t>
  </si>
  <si>
    <t>Total</t>
  </si>
  <si>
    <t>Outsource</t>
  </si>
  <si>
    <t>Tech Lead</t>
  </si>
  <si>
    <t>Mobile Dev</t>
  </si>
  <si>
    <t>Accountant</t>
  </si>
  <si>
    <t>Bank Charges</t>
  </si>
  <si>
    <t>Dialog Bill</t>
  </si>
  <si>
    <t>Mobile Bills</t>
  </si>
  <si>
    <t>Taxes</t>
  </si>
  <si>
    <t>Stamp Duty</t>
  </si>
  <si>
    <t>With Holding Tax</t>
  </si>
  <si>
    <t>Monthly Total in LKR</t>
  </si>
  <si>
    <t>LKR in Mn</t>
  </si>
  <si>
    <t>Book the core working space once a month and office rent January</t>
  </si>
  <si>
    <t>Avarage AUD Rate</t>
  </si>
  <si>
    <t>Budgetary Forecast for August 2025 - January 2026</t>
  </si>
  <si>
    <t>Deposits</t>
  </si>
  <si>
    <t>Buffer Cash- Bank Depist</t>
  </si>
  <si>
    <t>For Emergency Purpose</t>
  </si>
  <si>
    <t>Donataions/ Sponsprship</t>
  </si>
  <si>
    <t>Donation/Sponsorship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</si>
</sst>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sz val="11"/>
      <color rgb="FFEEECE1"/>
      <name val="Calibri"/>
      <family val="2"/>
      <charset val="1"/>
    </font>
    <font>
      <b/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963634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1" xfId="0" applyFont="1" applyBorder="1" applyAlignment="1">
      <alignment horizontal="center" vertical="top"/>
    </xf>
    <xf numFmtId="0" fontId="5" fillId="0" borderId="0" xfId="0" applyFont="1"/>
    <xf numFmtId="0" fontId="6" fillId="0" borderId="0" xfId="0" applyFont="1"/>
    <xf numFmtId="0" fontId="8" fillId="3" borderId="0" xfId="0" applyFont="1" applyFill="1"/>
    <xf numFmtId="0" fontId="6" fillId="3" borderId="0" xfId="0" applyFont="1" applyFill="1"/>
    <xf numFmtId="0" fontId="9" fillId="4" borderId="0" xfId="0" applyFont="1" applyFill="1"/>
    <xf numFmtId="0" fontId="6" fillId="4" borderId="0" xfId="0" applyFont="1" applyFill="1"/>
    <xf numFmtId="4" fontId="6" fillId="4" borderId="0" xfId="0" applyNumberFormat="1" applyFont="1" applyFill="1"/>
    <xf numFmtId="0" fontId="5" fillId="4" borderId="0" xfId="0" applyFont="1" applyFill="1"/>
    <xf numFmtId="4" fontId="8" fillId="3" borderId="0" xfId="0" applyNumberFormat="1" applyFont="1" applyFill="1"/>
    <xf numFmtId="0" fontId="10" fillId="5" borderId="0" xfId="0" applyFont="1" applyFill="1"/>
    <xf numFmtId="0" fontId="6" fillId="5" borderId="0" xfId="0" applyFont="1" applyFill="1"/>
    <xf numFmtId="0" fontId="9" fillId="6" borderId="0" xfId="0" applyFont="1" applyFill="1"/>
    <xf numFmtId="0" fontId="6" fillId="6" borderId="0" xfId="0" applyFont="1" applyFill="1"/>
    <xf numFmtId="4" fontId="6" fillId="6" borderId="0" xfId="0" applyNumberFormat="1" applyFont="1" applyFill="1"/>
    <xf numFmtId="0" fontId="8" fillId="6" borderId="0" xfId="0" applyFont="1" applyFill="1"/>
    <xf numFmtId="4" fontId="8" fillId="6" borderId="0" xfId="0" applyNumberFormat="1" applyFont="1" applyFill="1"/>
    <xf numFmtId="0" fontId="2" fillId="2" borderId="3" xfId="0" applyFont="1" applyFill="1" applyBorder="1"/>
    <xf numFmtId="0" fontId="4" fillId="0" borderId="1" xfId="0" applyFont="1" applyBorder="1"/>
    <xf numFmtId="43" fontId="4" fillId="0" borderId="1" xfId="1" applyFont="1" applyBorder="1"/>
    <xf numFmtId="0" fontId="6" fillId="0" borderId="1" xfId="0" applyFont="1" applyBorder="1"/>
    <xf numFmtId="43" fontId="6" fillId="0" borderId="1" xfId="1" applyFont="1" applyBorder="1"/>
    <xf numFmtId="43" fontId="7" fillId="0" borderId="1" xfId="1" applyFont="1" applyBorder="1"/>
    <xf numFmtId="43" fontId="4" fillId="0" borderId="4" xfId="1" applyFont="1" applyBorder="1"/>
    <xf numFmtId="43" fontId="4" fillId="0" borderId="5" xfId="1" applyFont="1" applyBorder="1"/>
    <xf numFmtId="43" fontId="4" fillId="0" borderId="2" xfId="1" applyFont="1" applyBorder="1"/>
    <xf numFmtId="43" fontId="4" fillId="0" borderId="6" xfId="1" applyFont="1" applyBorder="1"/>
    <xf numFmtId="43" fontId="4" fillId="2" borderId="0" xfId="1" applyFont="1" applyFill="1" applyBorder="1"/>
    <xf numFmtId="0" fontId="11" fillId="0" borderId="0" xfId="0" applyFont="1"/>
    <xf numFmtId="0" fontId="4" fillId="0" borderId="5" xfId="0" applyFont="1" applyBorder="1"/>
    <xf numFmtId="0" fontId="6" fillId="0" borderId="5" xfId="0" applyFont="1" applyBorder="1"/>
    <xf numFmtId="0" fontId="2" fillId="2" borderId="12" xfId="0" applyFont="1" applyFill="1" applyBorder="1"/>
    <xf numFmtId="0" fontId="2" fillId="2" borderId="13" xfId="0" applyFont="1" applyFill="1" applyBorder="1"/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8" fillId="2" borderId="0" xfId="0" applyFont="1" applyFill="1" applyAlignment="1">
      <alignment horizontal="left"/>
    </xf>
    <xf numFmtId="43" fontId="5" fillId="7" borderId="1" xfId="1" applyFont="1" applyFill="1" applyBorder="1" applyAlignment="1">
      <alignment horizontal="left"/>
    </xf>
    <xf numFmtId="43" fontId="5" fillId="7" borderId="1" xfId="1" applyFont="1" applyFill="1" applyBorder="1"/>
    <xf numFmtId="43" fontId="4" fillId="7" borderId="1" xfId="1" applyFont="1" applyFill="1" applyBorder="1"/>
    <xf numFmtId="43" fontId="4" fillId="7" borderId="5" xfId="1" applyFont="1" applyFill="1" applyBorder="1"/>
    <xf numFmtId="43" fontId="5" fillId="7" borderId="0" xfId="1" applyFont="1" applyFill="1"/>
    <xf numFmtId="43" fontId="0" fillId="7" borderId="0" xfId="1" applyFont="1" applyFill="1"/>
    <xf numFmtId="0" fontId="6" fillId="7" borderId="1" xfId="0" applyFont="1" applyFill="1" applyBorder="1" applyAlignment="1">
      <alignment horizontal="left"/>
    </xf>
    <xf numFmtId="0" fontId="6" fillId="7" borderId="1" xfId="0" applyFont="1" applyFill="1" applyBorder="1"/>
    <xf numFmtId="43" fontId="6" fillId="7" borderId="1" xfId="1" applyFont="1" applyFill="1" applyBorder="1"/>
    <xf numFmtId="0" fontId="6" fillId="7" borderId="5" xfId="0" applyFont="1" applyFill="1" applyBorder="1"/>
    <xf numFmtId="0" fontId="5" fillId="7" borderId="0" xfId="0" applyFont="1" applyFill="1"/>
    <xf numFmtId="0" fontId="0" fillId="7" borderId="0" xfId="0" applyFill="1"/>
    <xf numFmtId="0" fontId="8" fillId="8" borderId="7" xfId="0" applyFont="1" applyFill="1" applyBorder="1" applyAlignment="1">
      <alignment horizontal="left"/>
    </xf>
    <xf numFmtId="0" fontId="8" fillId="8" borderId="0" xfId="0" applyFont="1" applyFill="1"/>
    <xf numFmtId="43" fontId="8" fillId="8" borderId="0" xfId="0" applyNumberFormat="1" applyFont="1" applyFill="1" applyAlignment="1">
      <alignment horizontal="right"/>
    </xf>
    <xf numFmtId="43" fontId="8" fillId="8" borderId="8" xfId="0" applyNumberFormat="1" applyFont="1" applyFill="1" applyBorder="1" applyAlignment="1">
      <alignment horizontal="right"/>
    </xf>
    <xf numFmtId="0" fontId="6" fillId="7" borderId="0" xfId="0" applyFont="1" applyFill="1"/>
    <xf numFmtId="0" fontId="8" fillId="8" borderId="9" xfId="0" applyFont="1" applyFill="1" applyBorder="1" applyAlignment="1">
      <alignment horizontal="left"/>
    </xf>
    <xf numFmtId="0" fontId="6" fillId="8" borderId="10" xfId="0" applyFont="1" applyFill="1" applyBorder="1"/>
    <xf numFmtId="2" fontId="8" fillId="8" borderId="10" xfId="0" applyNumberFormat="1" applyFont="1" applyFill="1" applyBorder="1" applyAlignment="1">
      <alignment horizontal="right"/>
    </xf>
    <xf numFmtId="2" fontId="8" fillId="8" borderId="11" xfId="0" applyNumberFormat="1" applyFont="1" applyFill="1" applyBorder="1" applyAlignment="1">
      <alignment horizontal="right"/>
    </xf>
    <xf numFmtId="43" fontId="8" fillId="8" borderId="0" xfId="0" applyNumberFormat="1" applyFont="1" applyFill="1"/>
    <xf numFmtId="43" fontId="8" fillId="8" borderId="8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5F879-4AC5-4AFD-A5E5-DC2457495102}">
  <dimension ref="A2:J102"/>
  <sheetViews>
    <sheetView tabSelected="1" topLeftCell="A12" workbookViewId="0">
      <selection activeCell="A36" sqref="A36:XFD36"/>
    </sheetView>
  </sheetViews>
  <sheetFormatPr defaultRowHeight="14.4" x14ac:dyDescent="0.3"/>
  <cols>
    <col min="1" max="1" width="30.77734375" style="34" customWidth="1"/>
    <col min="2" max="2" width="28.109375" customWidth="1"/>
    <col min="3" max="8" width="19.77734375" customWidth="1"/>
    <col min="9" max="9" width="30.109375" customWidth="1"/>
    <col min="10" max="10" width="23.33203125" customWidth="1"/>
    <col min="11" max="11" width="45.88671875" customWidth="1"/>
  </cols>
  <sheetData>
    <row r="2" spans="1:10" ht="21" x14ac:dyDescent="0.4">
      <c r="B2" s="29" t="s">
        <v>71</v>
      </c>
      <c r="C2" s="29"/>
    </row>
    <row r="5" spans="1:10" x14ac:dyDescent="0.3">
      <c r="A5" s="35" t="s">
        <v>0</v>
      </c>
      <c r="B5" s="32" t="s">
        <v>1</v>
      </c>
      <c r="C5" s="32" t="s">
        <v>2</v>
      </c>
      <c r="D5" s="32" t="s">
        <v>3</v>
      </c>
      <c r="E5" s="32" t="s">
        <v>4</v>
      </c>
      <c r="F5" s="32" t="s">
        <v>5</v>
      </c>
      <c r="G5" s="32" t="s">
        <v>6</v>
      </c>
      <c r="H5" s="33" t="s">
        <v>7</v>
      </c>
      <c r="I5" s="18" t="s">
        <v>8</v>
      </c>
      <c r="J5" s="1"/>
    </row>
    <row r="6" spans="1:10" x14ac:dyDescent="0.3">
      <c r="A6" s="36" t="s">
        <v>9</v>
      </c>
      <c r="B6" s="19" t="s">
        <v>10</v>
      </c>
      <c r="C6" s="20">
        <v>1768054.16</v>
      </c>
      <c r="D6" s="20">
        <v>2638054.16</v>
      </c>
      <c r="E6" s="20">
        <v>2638054.16</v>
      </c>
      <c r="F6" s="20">
        <v>2638054.16</v>
      </c>
      <c r="G6" s="20">
        <v>2638054.16</v>
      </c>
      <c r="H6" s="20">
        <v>2638054.16</v>
      </c>
      <c r="I6" s="30" t="s">
        <v>11</v>
      </c>
      <c r="J6" s="2"/>
    </row>
    <row r="7" spans="1:10" x14ac:dyDescent="0.3">
      <c r="A7" s="36" t="s">
        <v>9</v>
      </c>
      <c r="B7" s="19" t="s">
        <v>12</v>
      </c>
      <c r="C7" s="20">
        <v>120000</v>
      </c>
      <c r="D7" s="20">
        <v>150000</v>
      </c>
      <c r="E7" s="20">
        <v>150000</v>
      </c>
      <c r="F7" s="20">
        <v>150000</v>
      </c>
      <c r="G7" s="20">
        <v>150000</v>
      </c>
      <c r="H7" s="20">
        <v>150000</v>
      </c>
      <c r="I7" s="30" t="s">
        <v>13</v>
      </c>
      <c r="J7" s="2"/>
    </row>
    <row r="8" spans="1:10" x14ac:dyDescent="0.3">
      <c r="A8" s="36" t="s">
        <v>14</v>
      </c>
      <c r="B8" s="19" t="s">
        <v>15</v>
      </c>
      <c r="C8" s="20">
        <v>100000</v>
      </c>
      <c r="D8" s="20">
        <v>100000</v>
      </c>
      <c r="E8" s="20">
        <v>100000</v>
      </c>
      <c r="F8" s="20">
        <v>100000</v>
      </c>
      <c r="G8" s="20">
        <v>100000</v>
      </c>
      <c r="H8" s="20">
        <v>100000</v>
      </c>
      <c r="I8" s="30"/>
      <c r="J8" s="2"/>
    </row>
    <row r="9" spans="1:10" x14ac:dyDescent="0.3">
      <c r="A9" s="36" t="s">
        <v>16</v>
      </c>
      <c r="B9" s="19" t="s">
        <v>17</v>
      </c>
      <c r="C9" s="20">
        <v>890000</v>
      </c>
      <c r="D9" s="20">
        <v>690000</v>
      </c>
      <c r="E9" s="20">
        <v>0</v>
      </c>
      <c r="F9" s="20">
        <v>0</v>
      </c>
      <c r="G9" s="20">
        <v>0</v>
      </c>
      <c r="H9" s="20">
        <v>0</v>
      </c>
      <c r="I9" s="30"/>
      <c r="J9" s="2"/>
    </row>
    <row r="10" spans="1:10" x14ac:dyDescent="0.3">
      <c r="A10" s="36" t="s">
        <v>16</v>
      </c>
      <c r="B10" s="19" t="s">
        <v>18</v>
      </c>
      <c r="C10" s="20">
        <v>0</v>
      </c>
      <c r="D10" s="26">
        <v>190000</v>
      </c>
      <c r="E10" s="20">
        <v>0</v>
      </c>
      <c r="F10" s="20">
        <v>0</v>
      </c>
      <c r="G10" s="20">
        <v>0</v>
      </c>
      <c r="H10" s="20">
        <v>0</v>
      </c>
      <c r="I10" s="30"/>
      <c r="J10" s="2"/>
    </row>
    <row r="11" spans="1:10" x14ac:dyDescent="0.3">
      <c r="A11" s="36" t="s">
        <v>16</v>
      </c>
      <c r="B11" s="19" t="s">
        <v>19</v>
      </c>
      <c r="C11" s="24">
        <v>41000</v>
      </c>
      <c r="D11" s="28">
        <v>34500</v>
      </c>
      <c r="E11" s="25">
        <v>10000</v>
      </c>
      <c r="F11" s="20">
        <v>10000</v>
      </c>
      <c r="G11" s="20">
        <v>10000</v>
      </c>
      <c r="H11" s="20">
        <v>10000</v>
      </c>
      <c r="I11" s="30"/>
      <c r="J11" s="2"/>
    </row>
    <row r="12" spans="1:10" x14ac:dyDescent="0.3">
      <c r="A12" s="36" t="s">
        <v>20</v>
      </c>
      <c r="B12" s="19" t="s">
        <v>21</v>
      </c>
      <c r="C12" s="20">
        <v>0</v>
      </c>
      <c r="D12" s="27">
        <v>0</v>
      </c>
      <c r="E12" s="20">
        <v>0</v>
      </c>
      <c r="F12" s="20">
        <v>0</v>
      </c>
      <c r="G12" s="20">
        <v>0</v>
      </c>
      <c r="H12" s="20">
        <v>0</v>
      </c>
      <c r="I12" s="30"/>
      <c r="J12" s="2"/>
    </row>
    <row r="13" spans="1:10" x14ac:dyDescent="0.3">
      <c r="A13" s="36" t="s">
        <v>20</v>
      </c>
      <c r="B13" s="19" t="s">
        <v>22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30"/>
      <c r="J13" s="2"/>
    </row>
    <row r="14" spans="1:10" x14ac:dyDescent="0.3">
      <c r="A14" s="36" t="s">
        <v>23</v>
      </c>
      <c r="B14" s="19" t="s">
        <v>24</v>
      </c>
      <c r="C14" s="20">
        <v>50000</v>
      </c>
      <c r="D14" s="20">
        <v>50000</v>
      </c>
      <c r="E14" s="20">
        <v>50000</v>
      </c>
      <c r="F14" s="20">
        <v>50000</v>
      </c>
      <c r="G14" s="20">
        <v>50000</v>
      </c>
      <c r="H14" s="20">
        <v>300000</v>
      </c>
      <c r="I14" s="30" t="s">
        <v>69</v>
      </c>
      <c r="J14" s="2"/>
    </row>
    <row r="15" spans="1:10" x14ac:dyDescent="0.3">
      <c r="A15" s="36" t="s">
        <v>23</v>
      </c>
      <c r="B15" s="19" t="s">
        <v>25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30"/>
      <c r="J15" s="2"/>
    </row>
    <row r="16" spans="1:10" x14ac:dyDescent="0.3">
      <c r="A16" s="36" t="s">
        <v>23</v>
      </c>
      <c r="B16" s="19" t="s">
        <v>26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50000</v>
      </c>
      <c r="I16" s="30"/>
      <c r="J16" s="2"/>
    </row>
    <row r="17" spans="1:10" s="45" customFormat="1" x14ac:dyDescent="0.3">
      <c r="A17" s="40" t="s">
        <v>23</v>
      </c>
      <c r="B17" s="41" t="s">
        <v>63</v>
      </c>
      <c r="C17" s="42">
        <v>4000</v>
      </c>
      <c r="D17" s="42">
        <v>4000</v>
      </c>
      <c r="E17" s="42">
        <v>4000</v>
      </c>
      <c r="F17" s="42">
        <v>4000</v>
      </c>
      <c r="G17" s="42">
        <v>4000</v>
      </c>
      <c r="H17" s="42">
        <v>4000</v>
      </c>
      <c r="I17" s="43" t="s">
        <v>62</v>
      </c>
      <c r="J17" s="44"/>
    </row>
    <row r="18" spans="1:10" x14ac:dyDescent="0.3">
      <c r="A18" s="36" t="s">
        <v>27</v>
      </c>
      <c r="B18" s="19" t="s">
        <v>28</v>
      </c>
      <c r="C18" s="20">
        <v>250000</v>
      </c>
      <c r="D18" s="20">
        <v>200000</v>
      </c>
      <c r="E18" s="20">
        <v>200000</v>
      </c>
      <c r="F18" s="20">
        <v>200000</v>
      </c>
      <c r="G18" s="20">
        <v>200000</v>
      </c>
      <c r="H18" s="20">
        <v>200000</v>
      </c>
      <c r="I18" s="30" t="s">
        <v>29</v>
      </c>
      <c r="J18" s="2"/>
    </row>
    <row r="19" spans="1:10" x14ac:dyDescent="0.3">
      <c r="A19" s="36" t="s">
        <v>27</v>
      </c>
      <c r="B19" s="19" t="s">
        <v>30</v>
      </c>
      <c r="C19" s="20">
        <v>200000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30"/>
      <c r="J19" s="2"/>
    </row>
    <row r="20" spans="1:10" x14ac:dyDescent="0.3">
      <c r="A20" s="36" t="s">
        <v>27</v>
      </c>
      <c r="B20" s="19" t="s">
        <v>31</v>
      </c>
      <c r="C20" s="20">
        <v>125000</v>
      </c>
      <c r="D20" s="20">
        <v>125000</v>
      </c>
      <c r="E20" s="20">
        <v>0</v>
      </c>
      <c r="F20" s="20">
        <v>0</v>
      </c>
      <c r="G20" s="20">
        <v>0</v>
      </c>
      <c r="H20" s="20">
        <v>0</v>
      </c>
      <c r="I20" s="30"/>
      <c r="J20" s="2"/>
    </row>
    <row r="21" spans="1:10" x14ac:dyDescent="0.3">
      <c r="A21" s="36" t="s">
        <v>32</v>
      </c>
      <c r="B21" s="19" t="s">
        <v>33</v>
      </c>
      <c r="C21" s="20">
        <v>200000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30"/>
      <c r="J21" s="2"/>
    </row>
    <row r="22" spans="1:10" x14ac:dyDescent="0.3">
      <c r="A22" s="36" t="s">
        <v>32</v>
      </c>
      <c r="B22" s="19" t="s">
        <v>34</v>
      </c>
      <c r="C22" s="20">
        <v>0</v>
      </c>
      <c r="D22" s="20">
        <v>0</v>
      </c>
      <c r="E22" s="20">
        <v>100000</v>
      </c>
      <c r="F22" s="20">
        <v>0</v>
      </c>
      <c r="G22" s="20">
        <v>0</v>
      </c>
      <c r="H22" s="20">
        <v>0</v>
      </c>
      <c r="I22" s="30"/>
      <c r="J22" s="2"/>
    </row>
    <row r="23" spans="1:10" x14ac:dyDescent="0.3">
      <c r="A23" s="36" t="s">
        <v>32</v>
      </c>
      <c r="B23" s="19" t="s">
        <v>35</v>
      </c>
      <c r="C23" s="20">
        <v>0</v>
      </c>
      <c r="D23" s="20">
        <v>0</v>
      </c>
      <c r="E23" s="20">
        <v>25000</v>
      </c>
      <c r="F23" s="20">
        <v>0</v>
      </c>
      <c r="G23" s="20">
        <v>0</v>
      </c>
      <c r="H23" s="20">
        <v>0</v>
      </c>
      <c r="I23" s="30"/>
      <c r="J23" s="2"/>
    </row>
    <row r="24" spans="1:10" x14ac:dyDescent="0.3">
      <c r="A24" s="36" t="s">
        <v>32</v>
      </c>
      <c r="B24" s="19" t="s">
        <v>36</v>
      </c>
      <c r="C24" s="20">
        <v>0</v>
      </c>
      <c r="D24" s="20">
        <v>0</v>
      </c>
      <c r="E24" s="20">
        <v>0</v>
      </c>
      <c r="F24" s="20">
        <v>0</v>
      </c>
      <c r="G24" s="20">
        <v>50000</v>
      </c>
      <c r="H24" s="20">
        <v>150000</v>
      </c>
      <c r="I24" s="30" t="s">
        <v>37</v>
      </c>
      <c r="J24" s="2"/>
    </row>
    <row r="25" spans="1:10" x14ac:dyDescent="0.3">
      <c r="A25" s="36" t="s">
        <v>32</v>
      </c>
      <c r="B25" s="19" t="s">
        <v>38</v>
      </c>
      <c r="C25" s="20">
        <v>0</v>
      </c>
      <c r="D25" s="20">
        <v>0</v>
      </c>
      <c r="E25" s="20">
        <v>100000</v>
      </c>
      <c r="F25" s="20">
        <v>0</v>
      </c>
      <c r="G25" s="20">
        <v>0</v>
      </c>
      <c r="H25" s="20">
        <v>0</v>
      </c>
      <c r="I25" s="30"/>
      <c r="J25" s="2"/>
    </row>
    <row r="26" spans="1:10" x14ac:dyDescent="0.3">
      <c r="A26" s="36" t="s">
        <v>32</v>
      </c>
      <c r="B26" s="19" t="s">
        <v>39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30"/>
      <c r="J26" s="2"/>
    </row>
    <row r="27" spans="1:10" x14ac:dyDescent="0.3">
      <c r="A27" s="36" t="s">
        <v>32</v>
      </c>
      <c r="B27" s="19" t="s">
        <v>40</v>
      </c>
      <c r="C27" s="20">
        <v>0</v>
      </c>
      <c r="D27" s="20">
        <v>0</v>
      </c>
      <c r="E27" s="20">
        <v>0</v>
      </c>
      <c r="F27" s="20">
        <v>0</v>
      </c>
      <c r="G27" s="20">
        <v>150000</v>
      </c>
      <c r="H27" s="20">
        <v>0</v>
      </c>
      <c r="I27" s="30"/>
      <c r="J27" s="2"/>
    </row>
    <row r="28" spans="1:10" x14ac:dyDescent="0.3">
      <c r="A28" s="36" t="s">
        <v>32</v>
      </c>
      <c r="B28" s="19" t="s">
        <v>41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40000</v>
      </c>
      <c r="I28" s="30" t="s">
        <v>42</v>
      </c>
      <c r="J28" s="2"/>
    </row>
    <row r="29" spans="1:10" x14ac:dyDescent="0.3">
      <c r="A29" s="36" t="s">
        <v>43</v>
      </c>
      <c r="B29" s="19" t="s">
        <v>44</v>
      </c>
      <c r="C29" s="20">
        <v>0</v>
      </c>
      <c r="D29" s="20">
        <v>0</v>
      </c>
      <c r="E29" s="20">
        <v>0</v>
      </c>
      <c r="F29" s="20">
        <v>50000</v>
      </c>
      <c r="G29" s="20">
        <v>50000</v>
      </c>
      <c r="H29" s="20">
        <v>50000</v>
      </c>
      <c r="I29" s="30"/>
      <c r="J29" s="2"/>
    </row>
    <row r="30" spans="1:10" x14ac:dyDescent="0.3">
      <c r="A30" s="37" t="s">
        <v>45</v>
      </c>
      <c r="B30" s="21" t="s">
        <v>46</v>
      </c>
      <c r="C30" s="22">
        <v>100000</v>
      </c>
      <c r="D30" s="23">
        <v>100000</v>
      </c>
      <c r="E30" s="23">
        <v>100000</v>
      </c>
      <c r="F30" s="23">
        <v>100000</v>
      </c>
      <c r="G30" s="23">
        <v>100000</v>
      </c>
      <c r="H30" s="23">
        <v>100000</v>
      </c>
      <c r="I30" s="31"/>
      <c r="J30" s="2"/>
    </row>
    <row r="31" spans="1:10" s="51" customFormat="1" x14ac:dyDescent="0.3">
      <c r="A31" s="46" t="s">
        <v>45</v>
      </c>
      <c r="B31" s="47" t="s">
        <v>61</v>
      </c>
      <c r="C31" s="48">
        <v>5000</v>
      </c>
      <c r="D31" s="48">
        <v>5000</v>
      </c>
      <c r="E31" s="48">
        <v>5000</v>
      </c>
      <c r="F31" s="48">
        <v>5000</v>
      </c>
      <c r="G31" s="48">
        <v>5000</v>
      </c>
      <c r="H31" s="48">
        <v>5000</v>
      </c>
      <c r="I31" s="49"/>
      <c r="J31" s="50"/>
    </row>
    <row r="32" spans="1:10" s="51" customFormat="1" x14ac:dyDescent="0.3">
      <c r="A32" s="46" t="s">
        <v>64</v>
      </c>
      <c r="B32" s="47" t="s">
        <v>65</v>
      </c>
      <c r="C32" s="48">
        <v>300</v>
      </c>
      <c r="D32" s="48">
        <v>500</v>
      </c>
      <c r="E32" s="48">
        <v>500</v>
      </c>
      <c r="F32" s="48">
        <v>500</v>
      </c>
      <c r="G32" s="48">
        <v>500</v>
      </c>
      <c r="H32" s="48">
        <v>500</v>
      </c>
      <c r="I32" s="49"/>
      <c r="J32" s="50"/>
    </row>
    <row r="33" spans="1:10" s="51" customFormat="1" x14ac:dyDescent="0.3">
      <c r="A33" s="46" t="s">
        <v>64</v>
      </c>
      <c r="B33" s="47" t="s">
        <v>66</v>
      </c>
      <c r="C33" s="48">
        <v>45000</v>
      </c>
      <c r="D33" s="48">
        <v>45000</v>
      </c>
      <c r="E33" s="48">
        <v>45000</v>
      </c>
      <c r="F33" s="48">
        <v>45000</v>
      </c>
      <c r="G33" s="48">
        <v>45000</v>
      </c>
      <c r="H33" s="48">
        <v>45000</v>
      </c>
      <c r="I33" s="49"/>
      <c r="J33" s="50"/>
    </row>
    <row r="34" spans="1:10" s="51" customFormat="1" x14ac:dyDescent="0.3">
      <c r="A34" s="46" t="s">
        <v>72</v>
      </c>
      <c r="B34" s="47" t="s">
        <v>73</v>
      </c>
      <c r="C34" s="48">
        <v>100000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9" t="s">
        <v>74</v>
      </c>
      <c r="J34" s="50"/>
    </row>
    <row r="35" spans="1:10" s="51" customFormat="1" x14ac:dyDescent="0.3">
      <c r="A35" s="46" t="s">
        <v>75</v>
      </c>
      <c r="B35" s="47" t="s">
        <v>76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9"/>
      <c r="J35" s="50"/>
    </row>
    <row r="36" spans="1:10" s="51" customFormat="1" x14ac:dyDescent="0.3">
      <c r="A36" s="52" t="s">
        <v>67</v>
      </c>
      <c r="B36" s="53"/>
      <c r="C36" s="61">
        <f t="shared" ref="C36:H36" si="0">SUM(C6:C35)</f>
        <v>3998354.16</v>
      </c>
      <c r="D36" s="61">
        <f t="shared" si="0"/>
        <v>4332054.16</v>
      </c>
      <c r="E36" s="61">
        <f t="shared" si="0"/>
        <v>3527554.16</v>
      </c>
      <c r="F36" s="61">
        <f t="shared" si="0"/>
        <v>3352554.16</v>
      </c>
      <c r="G36" s="61">
        <f t="shared" si="0"/>
        <v>3552554.16</v>
      </c>
      <c r="H36" s="62">
        <f t="shared" si="0"/>
        <v>3842554.16</v>
      </c>
      <c r="I36" s="56"/>
      <c r="J36" s="50"/>
    </row>
    <row r="37" spans="1:10" s="51" customFormat="1" x14ac:dyDescent="0.3">
      <c r="A37" s="52" t="s">
        <v>68</v>
      </c>
      <c r="B37" s="53"/>
      <c r="C37" s="54">
        <f>C36/1000000</f>
        <v>3.9983541600000003</v>
      </c>
      <c r="D37" s="54">
        <f t="shared" ref="D37:H37" si="1">D36/1000000</f>
        <v>4.3320541600000002</v>
      </c>
      <c r="E37" s="54">
        <f t="shared" si="1"/>
        <v>3.5275541600000002</v>
      </c>
      <c r="F37" s="54">
        <f t="shared" si="1"/>
        <v>3.3525541599999999</v>
      </c>
      <c r="G37" s="54">
        <f t="shared" si="1"/>
        <v>3.5525541600000001</v>
      </c>
      <c r="H37" s="55">
        <f t="shared" si="1"/>
        <v>3.8425541600000002</v>
      </c>
      <c r="I37" s="56"/>
      <c r="J37" s="50"/>
    </row>
    <row r="38" spans="1:10" s="51" customFormat="1" x14ac:dyDescent="0.3">
      <c r="A38" s="52" t="s">
        <v>70</v>
      </c>
      <c r="B38" s="53"/>
      <c r="C38" s="54">
        <v>198</v>
      </c>
      <c r="D38" s="54">
        <v>198</v>
      </c>
      <c r="E38" s="54">
        <v>198</v>
      </c>
      <c r="F38" s="54">
        <v>198</v>
      </c>
      <c r="G38" s="54">
        <v>198</v>
      </c>
      <c r="H38" s="55">
        <v>198</v>
      </c>
      <c r="I38" s="56"/>
      <c r="J38" s="50"/>
    </row>
    <row r="39" spans="1:10" s="51" customFormat="1" x14ac:dyDescent="0.3">
      <c r="A39" s="57" t="s">
        <v>47</v>
      </c>
      <c r="B39" s="58"/>
      <c r="C39" s="59">
        <f>C36/C38</f>
        <v>20193.707878787878</v>
      </c>
      <c r="D39" s="59">
        <f t="shared" ref="D39:H39" si="2">D36/D38</f>
        <v>21879.061414141415</v>
      </c>
      <c r="E39" s="59">
        <f t="shared" si="2"/>
        <v>17815.930101010101</v>
      </c>
      <c r="F39" s="59">
        <f t="shared" si="2"/>
        <v>16932.091717171719</v>
      </c>
      <c r="G39" s="59">
        <f t="shared" si="2"/>
        <v>17942.19272727273</v>
      </c>
      <c r="H39" s="60">
        <f t="shared" si="2"/>
        <v>19406.839191919193</v>
      </c>
      <c r="I39" s="56"/>
      <c r="J39" s="50"/>
    </row>
    <row r="40" spans="1:10" x14ac:dyDescent="0.3">
      <c r="A40" s="38"/>
      <c r="B40" s="3"/>
      <c r="C40" s="3"/>
      <c r="D40" s="3"/>
      <c r="E40" s="3"/>
      <c r="F40" s="3"/>
      <c r="G40" s="3"/>
      <c r="H40" s="3"/>
      <c r="I40" s="3"/>
      <c r="J40" s="2"/>
    </row>
    <row r="41" spans="1:10" x14ac:dyDescent="0.3">
      <c r="A41" s="38"/>
      <c r="B41" s="3"/>
      <c r="C41" s="3"/>
      <c r="D41" s="3"/>
      <c r="E41" s="3"/>
      <c r="F41" s="3"/>
      <c r="G41" s="3"/>
      <c r="H41" s="3"/>
      <c r="I41" s="3"/>
      <c r="J41" s="2"/>
    </row>
    <row r="42" spans="1:10" x14ac:dyDescent="0.3">
      <c r="A42" s="38"/>
      <c r="B42" s="3"/>
      <c r="C42" s="3"/>
      <c r="D42" s="3"/>
      <c r="E42" s="3"/>
      <c r="F42" s="3"/>
      <c r="G42" s="3"/>
      <c r="H42" s="3"/>
      <c r="I42" s="3"/>
      <c r="J42" s="2"/>
    </row>
    <row r="43" spans="1:10" x14ac:dyDescent="0.3">
      <c r="A43" s="38"/>
      <c r="B43" s="3"/>
      <c r="C43" s="3"/>
      <c r="D43" s="3"/>
      <c r="E43" s="3"/>
      <c r="F43" s="3"/>
      <c r="G43" s="3"/>
      <c r="H43" s="3"/>
      <c r="I43" s="3"/>
      <c r="J43" s="2"/>
    </row>
    <row r="44" spans="1:10" x14ac:dyDescent="0.3">
      <c r="A44" s="38"/>
      <c r="B44" s="3"/>
      <c r="C44" s="3"/>
      <c r="D44" s="3"/>
      <c r="E44" s="3"/>
      <c r="F44" s="3"/>
      <c r="G44" s="3"/>
      <c r="H44" s="3"/>
      <c r="I44" s="3"/>
      <c r="J44" s="2"/>
    </row>
    <row r="45" spans="1:10" x14ac:dyDescent="0.3">
      <c r="A45" s="39" t="s">
        <v>48</v>
      </c>
      <c r="B45" s="4" t="s">
        <v>49</v>
      </c>
      <c r="C45" s="5"/>
      <c r="D45" s="5"/>
      <c r="E45" s="3"/>
      <c r="F45" s="3"/>
      <c r="G45" s="3"/>
      <c r="H45" s="3"/>
      <c r="I45" s="3"/>
      <c r="J45" s="2"/>
    </row>
    <row r="46" spans="1:10" x14ac:dyDescent="0.3">
      <c r="A46" s="38" t="s">
        <v>50</v>
      </c>
      <c r="B46" s="6" t="s">
        <v>3</v>
      </c>
      <c r="C46" s="6"/>
      <c r="D46" s="7"/>
      <c r="E46" s="3"/>
      <c r="F46" s="3"/>
      <c r="G46" s="3"/>
      <c r="H46" s="3"/>
      <c r="I46" s="3"/>
      <c r="J46" s="2"/>
    </row>
    <row r="47" spans="1:10" x14ac:dyDescent="0.3">
      <c r="A47" s="38" t="s">
        <v>51</v>
      </c>
      <c r="B47" s="7" t="s">
        <v>52</v>
      </c>
      <c r="C47" s="8">
        <v>300000</v>
      </c>
      <c r="D47" s="7"/>
      <c r="E47" s="3"/>
      <c r="F47" s="3"/>
      <c r="G47" s="3"/>
      <c r="H47" s="3"/>
      <c r="I47" s="3"/>
      <c r="J47" s="2"/>
    </row>
    <row r="48" spans="1:10" x14ac:dyDescent="0.3">
      <c r="A48" s="38" t="s">
        <v>52</v>
      </c>
      <c r="B48" s="7" t="s">
        <v>52</v>
      </c>
      <c r="C48" s="8">
        <v>300000</v>
      </c>
      <c r="D48" s="7"/>
      <c r="E48" s="3"/>
      <c r="F48" s="3"/>
      <c r="G48" s="3"/>
      <c r="H48" s="3"/>
      <c r="I48" s="3"/>
      <c r="J48" s="2"/>
    </row>
    <row r="49" spans="1:10" x14ac:dyDescent="0.3">
      <c r="A49" s="38" t="s">
        <v>52</v>
      </c>
      <c r="B49" s="7" t="s">
        <v>53</v>
      </c>
      <c r="C49" s="8">
        <v>150000</v>
      </c>
      <c r="D49" s="7"/>
      <c r="E49" s="3"/>
      <c r="F49" s="3"/>
      <c r="G49" s="3"/>
      <c r="H49" s="3"/>
      <c r="I49" s="3"/>
      <c r="J49" s="2"/>
    </row>
    <row r="50" spans="1:10" x14ac:dyDescent="0.3">
      <c r="A50" s="38" t="s">
        <v>53</v>
      </c>
      <c r="B50" s="7" t="s">
        <v>54</v>
      </c>
      <c r="C50" s="8">
        <v>120000</v>
      </c>
      <c r="D50" s="7"/>
      <c r="E50" s="3"/>
      <c r="F50" s="3"/>
      <c r="G50" s="3"/>
      <c r="H50" s="3"/>
      <c r="I50" s="3"/>
      <c r="J50" s="2"/>
    </row>
    <row r="51" spans="1:10" x14ac:dyDescent="0.3">
      <c r="A51" s="38" t="s">
        <v>55</v>
      </c>
      <c r="B51" s="9"/>
      <c r="C51" s="9"/>
      <c r="D51" s="9"/>
      <c r="E51" s="3"/>
      <c r="F51" s="3"/>
      <c r="G51" s="3"/>
      <c r="H51" s="3"/>
      <c r="I51" s="3"/>
      <c r="J51" s="2"/>
    </row>
    <row r="52" spans="1:10" x14ac:dyDescent="0.3">
      <c r="A52" s="38" t="s">
        <v>54</v>
      </c>
      <c r="B52" s="9"/>
      <c r="C52" s="9"/>
      <c r="D52" s="9"/>
      <c r="E52" s="3"/>
      <c r="F52" s="3"/>
      <c r="G52" s="3"/>
      <c r="H52" s="3"/>
      <c r="I52" s="3"/>
      <c r="J52" s="2"/>
    </row>
    <row r="53" spans="1:10" x14ac:dyDescent="0.3">
      <c r="A53" s="38"/>
      <c r="B53" s="4" t="s">
        <v>56</v>
      </c>
      <c r="C53" s="4"/>
      <c r="D53" s="10">
        <v>870000</v>
      </c>
      <c r="E53" s="3"/>
      <c r="F53" s="3"/>
      <c r="G53" s="3"/>
      <c r="H53" s="3"/>
      <c r="I53" s="3"/>
      <c r="J53" s="2"/>
    </row>
    <row r="54" spans="1:10" x14ac:dyDescent="0.3">
      <c r="A54" s="38"/>
      <c r="B54" s="6" t="s">
        <v>4</v>
      </c>
      <c r="C54" s="6"/>
      <c r="D54" s="7"/>
      <c r="E54" s="3"/>
      <c r="F54" s="3"/>
      <c r="G54" s="3"/>
      <c r="H54" s="3"/>
      <c r="I54" s="3"/>
      <c r="J54" s="2"/>
    </row>
    <row r="55" spans="1:10" x14ac:dyDescent="0.3">
      <c r="A55" s="38"/>
      <c r="B55" s="7"/>
      <c r="C55" s="7"/>
      <c r="D55" s="7"/>
      <c r="E55" s="3"/>
      <c r="F55" s="3"/>
      <c r="G55" s="3"/>
      <c r="H55" s="3"/>
      <c r="I55" s="3"/>
      <c r="J55" s="2"/>
    </row>
    <row r="56" spans="1:10" x14ac:dyDescent="0.3">
      <c r="A56" s="38"/>
      <c r="B56" s="7"/>
      <c r="C56" s="7"/>
      <c r="D56" s="7"/>
      <c r="E56" s="3"/>
      <c r="F56" s="3"/>
      <c r="G56" s="3"/>
      <c r="H56" s="3"/>
      <c r="I56" s="3"/>
      <c r="J56" s="2"/>
    </row>
    <row r="57" spans="1:10" x14ac:dyDescent="0.3">
      <c r="A57" s="38"/>
      <c r="B57" s="4" t="s">
        <v>56</v>
      </c>
      <c r="C57" s="4"/>
      <c r="D57" s="4">
        <v>0</v>
      </c>
      <c r="E57" s="3"/>
      <c r="F57" s="3"/>
      <c r="G57" s="3"/>
      <c r="H57" s="3"/>
      <c r="I57" s="3"/>
      <c r="J57" s="2"/>
    </row>
    <row r="58" spans="1:10" x14ac:dyDescent="0.3">
      <c r="A58" s="38"/>
      <c r="B58" s="6" t="s">
        <v>5</v>
      </c>
      <c r="C58" s="6"/>
      <c r="D58" s="7"/>
      <c r="E58" s="3"/>
      <c r="F58" s="3"/>
      <c r="G58" s="3"/>
      <c r="H58" s="3"/>
      <c r="I58" s="3"/>
      <c r="J58" s="2"/>
    </row>
    <row r="59" spans="1:10" x14ac:dyDescent="0.3">
      <c r="A59" s="38"/>
      <c r="B59" s="7"/>
      <c r="C59" s="7"/>
      <c r="D59" s="7"/>
      <c r="E59" s="3"/>
      <c r="F59" s="3"/>
      <c r="G59" s="3"/>
      <c r="H59" s="3"/>
      <c r="I59" s="3"/>
      <c r="J59" s="2"/>
    </row>
    <row r="60" spans="1:10" x14ac:dyDescent="0.3">
      <c r="A60" s="38"/>
      <c r="B60" s="7"/>
      <c r="C60" s="7"/>
      <c r="D60" s="7"/>
      <c r="E60" s="3"/>
      <c r="F60" s="3"/>
      <c r="G60" s="3"/>
      <c r="H60" s="3"/>
      <c r="I60" s="3"/>
      <c r="J60" s="2"/>
    </row>
    <row r="61" spans="1:10" x14ac:dyDescent="0.3">
      <c r="A61" s="38"/>
      <c r="B61" s="4" t="s">
        <v>56</v>
      </c>
      <c r="C61" s="4"/>
      <c r="D61" s="4">
        <v>0</v>
      </c>
      <c r="E61" s="3"/>
      <c r="F61" s="3"/>
      <c r="G61" s="3"/>
      <c r="H61" s="3"/>
      <c r="I61" s="3"/>
      <c r="J61" s="2"/>
    </row>
    <row r="62" spans="1:10" x14ac:dyDescent="0.3">
      <c r="A62" s="38"/>
      <c r="B62" s="6" t="s">
        <v>5</v>
      </c>
      <c r="C62" s="6"/>
      <c r="D62" s="7"/>
      <c r="E62" s="3"/>
      <c r="F62" s="3"/>
      <c r="G62" s="3"/>
      <c r="H62" s="3"/>
      <c r="I62" s="3"/>
      <c r="J62" s="2"/>
    </row>
    <row r="63" spans="1:10" x14ac:dyDescent="0.3">
      <c r="A63" s="38"/>
      <c r="B63" s="7"/>
      <c r="C63" s="7"/>
      <c r="D63" s="7"/>
      <c r="E63" s="3"/>
      <c r="F63" s="3"/>
      <c r="G63" s="3"/>
      <c r="H63" s="3"/>
      <c r="I63" s="3"/>
      <c r="J63" s="2"/>
    </row>
    <row r="64" spans="1:10" x14ac:dyDescent="0.3">
      <c r="A64" s="38"/>
      <c r="B64" s="7"/>
      <c r="C64" s="7"/>
      <c r="D64" s="7"/>
      <c r="E64" s="3"/>
      <c r="F64" s="3"/>
      <c r="G64" s="3"/>
      <c r="H64" s="3"/>
      <c r="I64" s="3"/>
      <c r="J64" s="2"/>
    </row>
    <row r="65" spans="1:10" x14ac:dyDescent="0.3">
      <c r="A65" s="38"/>
      <c r="B65" s="4" t="s">
        <v>56</v>
      </c>
      <c r="C65" s="4"/>
      <c r="D65" s="4">
        <v>0</v>
      </c>
      <c r="E65" s="3"/>
      <c r="F65" s="3"/>
      <c r="G65" s="3"/>
      <c r="H65" s="3"/>
      <c r="I65" s="3"/>
      <c r="J65" s="2"/>
    </row>
    <row r="66" spans="1:10" x14ac:dyDescent="0.3">
      <c r="A66" s="38"/>
      <c r="B66" s="6" t="s">
        <v>6</v>
      </c>
      <c r="C66" s="6"/>
      <c r="D66" s="7"/>
      <c r="E66" s="3"/>
      <c r="F66" s="3"/>
      <c r="G66" s="3"/>
      <c r="H66" s="3"/>
      <c r="I66" s="3"/>
      <c r="J66" s="2"/>
    </row>
    <row r="67" spans="1:10" x14ac:dyDescent="0.3">
      <c r="A67" s="38"/>
      <c r="B67" s="7"/>
      <c r="C67" s="7"/>
      <c r="D67" s="7"/>
      <c r="E67" s="3"/>
      <c r="F67" s="3"/>
      <c r="G67" s="3"/>
      <c r="H67" s="3"/>
      <c r="I67" s="3"/>
      <c r="J67" s="2"/>
    </row>
    <row r="68" spans="1:10" x14ac:dyDescent="0.3">
      <c r="A68" s="38"/>
      <c r="B68" s="7"/>
      <c r="C68" s="7"/>
      <c r="D68" s="7"/>
      <c r="E68" s="3"/>
      <c r="F68" s="3"/>
      <c r="G68" s="3"/>
      <c r="H68" s="3"/>
      <c r="I68" s="3"/>
      <c r="J68" s="2"/>
    </row>
    <row r="69" spans="1:10" x14ac:dyDescent="0.3">
      <c r="A69" s="38"/>
      <c r="B69" s="4" t="s">
        <v>56</v>
      </c>
      <c r="C69" s="4"/>
      <c r="D69" s="4">
        <v>0</v>
      </c>
      <c r="E69" s="3"/>
      <c r="F69" s="3"/>
      <c r="G69" s="3"/>
      <c r="H69" s="3"/>
      <c r="I69" s="3"/>
      <c r="J69" s="2"/>
    </row>
    <row r="70" spans="1:10" x14ac:dyDescent="0.3">
      <c r="A70" s="38"/>
      <c r="B70" s="6" t="s">
        <v>7</v>
      </c>
      <c r="C70" s="6"/>
      <c r="D70" s="7"/>
      <c r="E70" s="3"/>
      <c r="F70" s="3"/>
      <c r="G70" s="3"/>
      <c r="H70" s="3"/>
      <c r="I70" s="3"/>
      <c r="J70" s="2"/>
    </row>
    <row r="71" spans="1:10" x14ac:dyDescent="0.3">
      <c r="A71" s="38"/>
      <c r="B71" s="7"/>
      <c r="C71" s="7"/>
      <c r="D71" s="7"/>
      <c r="E71" s="3"/>
      <c r="F71" s="3"/>
      <c r="G71" s="3"/>
      <c r="H71" s="3"/>
      <c r="I71" s="3"/>
      <c r="J71" s="2"/>
    </row>
    <row r="72" spans="1:10" x14ac:dyDescent="0.3">
      <c r="A72" s="38"/>
      <c r="B72" s="7"/>
      <c r="C72" s="7"/>
      <c r="D72" s="7"/>
      <c r="E72" s="3"/>
      <c r="F72" s="3"/>
      <c r="G72" s="3"/>
      <c r="H72" s="3"/>
      <c r="I72" s="3"/>
      <c r="J72" s="2"/>
    </row>
    <row r="73" spans="1:10" x14ac:dyDescent="0.3">
      <c r="A73" s="38"/>
      <c r="B73" s="4" t="s">
        <v>56</v>
      </c>
      <c r="C73" s="4"/>
      <c r="D73" s="4">
        <v>0</v>
      </c>
      <c r="E73" s="3"/>
      <c r="F73" s="3"/>
      <c r="G73" s="3"/>
      <c r="H73" s="3"/>
      <c r="I73" s="3"/>
      <c r="J73" s="2"/>
    </row>
    <row r="74" spans="1:10" x14ac:dyDescent="0.3">
      <c r="A74" s="38"/>
      <c r="B74" s="3"/>
      <c r="C74" s="3"/>
      <c r="D74" s="3"/>
      <c r="E74" s="3"/>
      <c r="F74" s="3"/>
      <c r="G74" s="3"/>
      <c r="H74" s="3"/>
      <c r="I74" s="3"/>
      <c r="J74" s="2"/>
    </row>
    <row r="75" spans="1:10" x14ac:dyDescent="0.3">
      <c r="A75" s="38"/>
      <c r="B75" s="3"/>
      <c r="C75" s="3"/>
      <c r="D75" s="3"/>
      <c r="E75" s="3"/>
      <c r="F75" s="3"/>
      <c r="G75" s="3"/>
      <c r="H75" s="3"/>
      <c r="I75" s="3"/>
      <c r="J75" s="2"/>
    </row>
    <row r="76" spans="1:10" x14ac:dyDescent="0.3">
      <c r="A76" s="38"/>
      <c r="B76" s="11" t="s">
        <v>57</v>
      </c>
      <c r="C76" s="12"/>
      <c r="D76" s="12"/>
      <c r="E76" s="3"/>
      <c r="F76" s="3"/>
      <c r="G76" s="3"/>
      <c r="H76" s="3"/>
      <c r="I76" s="3"/>
      <c r="J76" s="2"/>
    </row>
    <row r="77" spans="1:10" x14ac:dyDescent="0.3">
      <c r="A77" s="38"/>
      <c r="B77" s="13" t="s">
        <v>3</v>
      </c>
      <c r="C77" s="13"/>
      <c r="D77" s="14"/>
      <c r="E77" s="3"/>
      <c r="F77" s="3"/>
      <c r="G77" s="3"/>
      <c r="H77" s="3"/>
      <c r="I77" s="3"/>
      <c r="J77" s="2"/>
    </row>
    <row r="78" spans="1:10" x14ac:dyDescent="0.3">
      <c r="A78" s="38"/>
      <c r="B78" s="14" t="s">
        <v>58</v>
      </c>
      <c r="C78" s="15">
        <v>150000</v>
      </c>
      <c r="D78" s="14"/>
      <c r="E78" s="3"/>
      <c r="F78" s="3"/>
      <c r="G78" s="3"/>
      <c r="H78" s="3"/>
      <c r="I78" s="3"/>
      <c r="J78" s="2"/>
    </row>
    <row r="79" spans="1:10" x14ac:dyDescent="0.3">
      <c r="A79" s="38"/>
      <c r="B79" s="14" t="s">
        <v>59</v>
      </c>
      <c r="C79" s="15">
        <v>75000</v>
      </c>
      <c r="D79" s="14"/>
      <c r="E79" s="3"/>
      <c r="F79" s="3"/>
      <c r="G79" s="3"/>
      <c r="H79" s="3"/>
      <c r="I79" s="3"/>
      <c r="J79" s="2"/>
    </row>
    <row r="80" spans="1:10" x14ac:dyDescent="0.3">
      <c r="A80" s="38"/>
      <c r="B80" s="14" t="s">
        <v>60</v>
      </c>
      <c r="C80" s="15">
        <v>30000</v>
      </c>
      <c r="D80" s="14"/>
      <c r="E80" s="3"/>
      <c r="F80" s="3"/>
      <c r="G80" s="3"/>
      <c r="H80" s="3"/>
      <c r="I80" s="3"/>
      <c r="J80" s="2"/>
    </row>
    <row r="81" spans="1:10" x14ac:dyDescent="0.3">
      <c r="A81" s="38"/>
      <c r="B81" s="14"/>
      <c r="C81" s="14"/>
      <c r="D81" s="14"/>
      <c r="E81" s="3"/>
      <c r="F81" s="3"/>
      <c r="G81" s="3"/>
      <c r="H81" s="3"/>
      <c r="I81" s="3"/>
      <c r="J81" s="2"/>
    </row>
    <row r="82" spans="1:10" x14ac:dyDescent="0.3">
      <c r="A82" s="38"/>
      <c r="B82" s="16" t="s">
        <v>56</v>
      </c>
      <c r="C82" s="16"/>
      <c r="D82" s="17">
        <v>255000</v>
      </c>
      <c r="E82" s="3"/>
      <c r="F82" s="3"/>
      <c r="G82" s="3"/>
      <c r="H82" s="3"/>
      <c r="I82" s="3"/>
      <c r="J82" s="2"/>
    </row>
    <row r="83" spans="1:10" x14ac:dyDescent="0.3">
      <c r="A83" s="38"/>
      <c r="B83" s="13" t="s">
        <v>4</v>
      </c>
      <c r="C83" s="13"/>
      <c r="D83" s="14"/>
      <c r="E83" s="3"/>
      <c r="F83" s="3"/>
      <c r="G83" s="3"/>
      <c r="H83" s="3"/>
      <c r="I83" s="3"/>
      <c r="J83" s="2"/>
    </row>
    <row r="84" spans="1:10" x14ac:dyDescent="0.3">
      <c r="A84" s="38"/>
      <c r="B84" s="14"/>
      <c r="C84" s="14"/>
      <c r="D84" s="14"/>
      <c r="E84" s="3"/>
      <c r="F84" s="3"/>
      <c r="G84" s="3"/>
      <c r="H84" s="3"/>
      <c r="I84" s="3"/>
      <c r="J84" s="2"/>
    </row>
    <row r="85" spans="1:10" x14ac:dyDescent="0.3">
      <c r="A85" s="38"/>
      <c r="B85" s="14"/>
      <c r="C85" s="14"/>
      <c r="D85" s="14"/>
      <c r="E85" s="3"/>
      <c r="F85" s="3"/>
      <c r="G85" s="3"/>
      <c r="H85" s="3"/>
      <c r="I85" s="3"/>
      <c r="J85" s="2"/>
    </row>
    <row r="86" spans="1:10" x14ac:dyDescent="0.3">
      <c r="A86" s="38"/>
      <c r="B86" s="16" t="s">
        <v>56</v>
      </c>
      <c r="C86" s="16"/>
      <c r="D86" s="16">
        <v>0</v>
      </c>
      <c r="E86" s="3"/>
      <c r="F86" s="3"/>
      <c r="G86" s="3"/>
      <c r="H86" s="3"/>
      <c r="I86" s="3"/>
      <c r="J86" s="2"/>
    </row>
    <row r="87" spans="1:10" x14ac:dyDescent="0.3">
      <c r="A87" s="38"/>
      <c r="B87" s="13" t="s">
        <v>5</v>
      </c>
      <c r="C87" s="13"/>
      <c r="D87" s="14"/>
      <c r="E87" s="3"/>
      <c r="F87" s="3"/>
      <c r="G87" s="3"/>
      <c r="H87" s="3"/>
      <c r="I87" s="3"/>
      <c r="J87" s="2"/>
    </row>
    <row r="88" spans="1:10" x14ac:dyDescent="0.3">
      <c r="A88" s="38"/>
      <c r="B88" s="14"/>
      <c r="C88" s="14"/>
      <c r="D88" s="14"/>
      <c r="E88" s="3"/>
      <c r="F88" s="3"/>
      <c r="G88" s="3"/>
      <c r="H88" s="3"/>
      <c r="I88" s="3"/>
      <c r="J88" s="2"/>
    </row>
    <row r="89" spans="1:10" x14ac:dyDescent="0.3">
      <c r="A89" s="38"/>
      <c r="B89" s="14"/>
      <c r="C89" s="14"/>
      <c r="D89" s="14"/>
      <c r="E89" s="3"/>
      <c r="F89" s="3"/>
      <c r="G89" s="3"/>
      <c r="H89" s="3"/>
      <c r="I89" s="3"/>
      <c r="J89" s="2"/>
    </row>
    <row r="90" spans="1:10" x14ac:dyDescent="0.3">
      <c r="A90" s="38"/>
      <c r="B90" s="16" t="s">
        <v>56</v>
      </c>
      <c r="C90" s="16"/>
      <c r="D90" s="16">
        <v>0</v>
      </c>
      <c r="E90" s="3"/>
      <c r="F90" s="3"/>
      <c r="G90" s="3"/>
      <c r="H90" s="3"/>
      <c r="I90" s="3"/>
      <c r="J90" s="2"/>
    </row>
    <row r="91" spans="1:10" x14ac:dyDescent="0.3">
      <c r="A91" s="38"/>
      <c r="B91" s="13" t="s">
        <v>5</v>
      </c>
      <c r="C91" s="13"/>
      <c r="D91" s="14"/>
      <c r="E91" s="3"/>
      <c r="F91" s="3"/>
      <c r="G91" s="3"/>
      <c r="H91" s="3"/>
      <c r="I91" s="3"/>
      <c r="J91" s="2"/>
    </row>
    <row r="92" spans="1:10" x14ac:dyDescent="0.3">
      <c r="A92" s="38"/>
      <c r="B92" s="14"/>
      <c r="C92" s="14"/>
      <c r="D92" s="14"/>
      <c r="E92" s="3"/>
      <c r="F92" s="3"/>
      <c r="G92" s="3"/>
      <c r="H92" s="3"/>
      <c r="I92" s="3"/>
      <c r="J92" s="2"/>
    </row>
    <row r="93" spans="1:10" x14ac:dyDescent="0.3">
      <c r="A93" s="38"/>
      <c r="B93" s="14"/>
      <c r="C93" s="14"/>
      <c r="D93" s="14"/>
      <c r="E93" s="3"/>
      <c r="F93" s="3"/>
      <c r="G93" s="3"/>
      <c r="H93" s="3"/>
      <c r="I93" s="3"/>
      <c r="J93" s="2"/>
    </row>
    <row r="94" spans="1:10" x14ac:dyDescent="0.3">
      <c r="A94" s="38"/>
      <c r="B94" s="16" t="s">
        <v>56</v>
      </c>
      <c r="C94" s="16"/>
      <c r="D94" s="16">
        <v>0</v>
      </c>
      <c r="E94" s="3"/>
      <c r="F94" s="3"/>
      <c r="G94" s="3"/>
      <c r="H94" s="3"/>
      <c r="I94" s="3"/>
      <c r="J94" s="2"/>
    </row>
    <row r="95" spans="1:10" x14ac:dyDescent="0.3">
      <c r="A95" s="38"/>
      <c r="B95" s="13" t="s">
        <v>6</v>
      </c>
      <c r="C95" s="13"/>
      <c r="D95" s="14"/>
      <c r="E95" s="3"/>
      <c r="F95" s="3"/>
      <c r="G95" s="3"/>
      <c r="H95" s="3"/>
      <c r="I95" s="3"/>
      <c r="J95" s="2"/>
    </row>
    <row r="96" spans="1:10" x14ac:dyDescent="0.3">
      <c r="A96" s="38"/>
      <c r="B96" s="14"/>
      <c r="C96" s="14"/>
      <c r="D96" s="14"/>
      <c r="E96" s="3"/>
      <c r="F96" s="3"/>
      <c r="G96" s="3"/>
      <c r="H96" s="3"/>
      <c r="I96" s="3"/>
      <c r="J96" s="2"/>
    </row>
    <row r="97" spans="1:10" x14ac:dyDescent="0.3">
      <c r="A97" s="38"/>
      <c r="B97" s="14"/>
      <c r="C97" s="14"/>
      <c r="D97" s="14"/>
      <c r="E97" s="3"/>
      <c r="F97" s="3"/>
      <c r="G97" s="3"/>
      <c r="H97" s="3"/>
      <c r="I97" s="3"/>
      <c r="J97" s="2"/>
    </row>
    <row r="98" spans="1:10" x14ac:dyDescent="0.3">
      <c r="A98" s="38"/>
      <c r="B98" s="16" t="s">
        <v>56</v>
      </c>
      <c r="C98" s="16"/>
      <c r="D98" s="16">
        <v>0</v>
      </c>
      <c r="E98" s="3"/>
      <c r="F98" s="3"/>
      <c r="G98" s="3"/>
      <c r="H98" s="3"/>
      <c r="I98" s="3"/>
      <c r="J98" s="2"/>
    </row>
    <row r="99" spans="1:10" x14ac:dyDescent="0.3">
      <c r="A99" s="38"/>
      <c r="B99" s="13" t="s">
        <v>7</v>
      </c>
      <c r="C99" s="13"/>
      <c r="D99" s="14"/>
      <c r="E99" s="3"/>
      <c r="F99" s="3"/>
      <c r="G99" s="3"/>
      <c r="H99" s="3"/>
      <c r="I99" s="3"/>
      <c r="J99" s="2"/>
    </row>
    <row r="100" spans="1:10" x14ac:dyDescent="0.3">
      <c r="A100" s="38"/>
      <c r="B100" s="14"/>
      <c r="C100" s="14"/>
      <c r="D100" s="14"/>
      <c r="E100" s="3"/>
      <c r="F100" s="3"/>
      <c r="G100" s="3"/>
      <c r="H100" s="3"/>
      <c r="I100" s="3"/>
      <c r="J100" s="2"/>
    </row>
    <row r="101" spans="1:10" x14ac:dyDescent="0.3">
      <c r="A101" s="38"/>
      <c r="B101" s="14"/>
      <c r="C101" s="14"/>
      <c r="D101" s="14"/>
      <c r="E101" s="3"/>
      <c r="F101" s="3"/>
      <c r="G101" s="3"/>
      <c r="H101" s="3"/>
      <c r="I101" s="3"/>
      <c r="J101" s="2"/>
    </row>
    <row r="102" spans="1:10" x14ac:dyDescent="0.3">
      <c r="A102" s="38"/>
      <c r="B102" s="16" t="s">
        <v>56</v>
      </c>
      <c r="C102" s="16"/>
      <c r="D102" s="16">
        <v>0</v>
      </c>
      <c r="E102" s="3"/>
      <c r="F102" s="3"/>
      <c r="G102" s="3"/>
      <c r="H102" s="3"/>
      <c r="I102" s="3"/>
      <c r="J1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Sameela Mirando|Purchasing Executive</dc:creator>
  <cp:lastModifiedBy>Sameela Mirando|Purchasing Executive</cp:lastModifiedBy>
  <dcterms:created xsi:type="dcterms:W3CDTF">2025-08-15T02:21:08Z</dcterms:created>
  <dcterms:modified xsi:type="dcterms:W3CDTF">2025-08-15T04:01:04Z</dcterms:modified>
</cp:coreProperties>
</file>