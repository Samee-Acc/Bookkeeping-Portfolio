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la.Mirando\Desktop\UPWORK\"/>
    </mc:Choice>
  </mc:AlternateContent>
  <xr:revisionPtr revIDLastSave="0" documentId="13_ncr:1_{C5F20FD5-1060-49AF-B6DD-96C3E1A226DB}" xr6:coauthVersionLast="47" xr6:coauthVersionMax="47" xr10:uidLastSave="{00000000-0000-0000-0000-000000000000}"/>
  <bookViews>
    <workbookView xWindow="-108" yWindow="-108" windowWidth="23256" windowHeight="12576" firstSheet="1" activeTab="1" xr2:uid="{782E717B-0AA4-4FF1-9BCE-4DB092A85F0C}"/>
  </bookViews>
  <sheets>
    <sheet name="3 month full data" sheetId="1" state="hidden" r:id="rId1"/>
    <sheet name="JULY 2025" sheetId="2" r:id="rId2"/>
    <sheet name="AUG 25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3" l="1"/>
  <c r="E43" i="3"/>
  <c r="F40" i="3"/>
  <c r="E40" i="3"/>
  <c r="E44" i="3" s="1"/>
  <c r="E45" i="3" l="1"/>
  <c r="F36" i="2" l="1"/>
  <c r="E36" i="2"/>
  <c r="F163" i="1"/>
  <c r="J16" i="2"/>
</calcChain>
</file>

<file path=xl/sharedStrings.xml><?xml version="1.0" encoding="utf-8"?>
<sst xmlns="http://schemas.openxmlformats.org/spreadsheetml/2006/main" count="887" uniqueCount="520">
  <si>
    <t>Date</t>
  </si>
  <si>
    <t>Description</t>
  </si>
  <si>
    <t>Reference</t>
  </si>
  <si>
    <t>Amount</t>
  </si>
  <si>
    <t>Luxury</t>
  </si>
  <si>
    <t xml:space="preserve">Luxury Adavnce Payament  </t>
  </si>
  <si>
    <t>Advance Paymnt for Mac books</t>
  </si>
  <si>
    <t>'Fee:CEFT_SLIPS Vishwa Fund Tfr_02-04-2025'</t>
  </si>
  <si>
    <t xml:space="preserve">'Fee:CEFT_SLIPS Vishwa Fund Tfr_02-04-2025'  </t>
  </si>
  <si>
    <t>Bank Fee</t>
  </si>
  <si>
    <t>'Fee:CEFT_SLIPS Vishwa Fund Tfr_12-04-2025'</t>
  </si>
  <si>
    <t xml:space="preserve">'Fee:CEFT_SLIPS Vishwa Fund Tfr_12-04-2025'  </t>
  </si>
  <si>
    <t>'Fee:CEFT_SLIPS Vishwa Fund Tfr_15-05-2025'</t>
  </si>
  <si>
    <t xml:space="preserve">'Fee:CEFT_SLIPS Vishwa Fund Tfr_15-05-2025'  </t>
  </si>
  <si>
    <t>'Fee:CEFT_SLIPS Vishwa Fund Tfr_22-05-2025'</t>
  </si>
  <si>
    <t xml:space="preserve">'Fee:CEFT_SLIPS Vishwa Fund Tfr_22-05-2025'  </t>
  </si>
  <si>
    <t>'Fee:CEFT_SLIPS Vishwa Fund Tfr_29-05-2025'</t>
  </si>
  <si>
    <t xml:space="preserve">'Fee:CEFT_SLIPS Vishwa Fund Tfr_29-05-2025'  </t>
  </si>
  <si>
    <t>'Fee:CEFT_SLIPS Vishwa Fund Tfr_11-06-2025'</t>
  </si>
  <si>
    <t xml:space="preserve">'Fee:CEFT_SLIPS Vishwa Fund Tfr_11-06-2025'  </t>
  </si>
  <si>
    <t>'Fee:CEFT_SLIPS Vishwa Fund Tfr_13-06-2025'</t>
  </si>
  <si>
    <t xml:space="preserve">'Fee:CEFT_SLIPS Vishwa Fund Tfr_13-06-2025'  </t>
  </si>
  <si>
    <t xml:space="preserve">'Fee:CEFT_SLIPS Vishwa Fund Tfr_20-06-2025'  </t>
  </si>
  <si>
    <t xml:space="preserve">'Fee:CEFT_SLIPS Vishwa Fund Tfr_26-06-2025'  </t>
  </si>
  <si>
    <t>Sampath Bank</t>
  </si>
  <si>
    <t xml:space="preserve">Bank Charges  </t>
  </si>
  <si>
    <t>'Fee:CEFT_SLIPS Vishwa Fund Tfr_15-07-2025'</t>
  </si>
  <si>
    <t>Sampath Bank Fee</t>
  </si>
  <si>
    <t xml:space="preserve">Sampath Bank Fee  </t>
  </si>
  <si>
    <t>'Fee:CEFT_SLIPS Vishwa Fund Tfr_08-05-2025'</t>
  </si>
  <si>
    <t xml:space="preserve">'Fee:CEFT_SLIPS Vishwa Fund Tfr_08-05-2025'  </t>
  </si>
  <si>
    <t>'VXD Bi-Week Salary0025291478'</t>
  </si>
  <si>
    <t xml:space="preserve">'VXD Bi-Week Salary0025291478'  </t>
  </si>
  <si>
    <t>Bi week Saalry</t>
  </si>
  <si>
    <t>'VXD Bi-Week Salary0025500980'</t>
  </si>
  <si>
    <t xml:space="preserve">'VXD Bi-Week Salary0025500980'  </t>
  </si>
  <si>
    <t>'VXD Bi-Week Salary0025835290'</t>
  </si>
  <si>
    <t xml:space="preserve">'VXD Bi-Week Salary0025835290'  </t>
  </si>
  <si>
    <t>Bi week Salary</t>
  </si>
  <si>
    <t>Sameela Miarando</t>
  </si>
  <si>
    <t xml:space="preserve">Bookke Keeping bservice June 2025  </t>
  </si>
  <si>
    <t>Bookeeping Service</t>
  </si>
  <si>
    <t>'Payment for Renewal0025080604'</t>
  </si>
  <si>
    <t>Simpel Books</t>
  </si>
  <si>
    <t>Company REgistration &amp; Finance service</t>
  </si>
  <si>
    <t>Hansini</t>
  </si>
  <si>
    <t xml:space="preserve">'VXD Reimbursement0026076396'  </t>
  </si>
  <si>
    <t>Courier Charges</t>
  </si>
  <si>
    <t>Dialog Axial PLC</t>
  </si>
  <si>
    <t xml:space="preserve">Dialog Bill - 24/5 -25/6  </t>
  </si>
  <si>
    <t>Dialog Bill</t>
  </si>
  <si>
    <t xml:space="preserve">'SVC-0026096235'  </t>
  </si>
  <si>
    <t xml:space="preserve">Dialogue Bill </t>
  </si>
  <si>
    <t>EPF Department -June 2025</t>
  </si>
  <si>
    <t xml:space="preserve">EPF Department -June 2025  </t>
  </si>
  <si>
    <t>EPF 20% Payment</t>
  </si>
  <si>
    <t>'2025050870106606600341129'</t>
  </si>
  <si>
    <t xml:space="preserve">'2025050870106606600341129'  </t>
  </si>
  <si>
    <t>'2025061170106606600301125'</t>
  </si>
  <si>
    <t xml:space="preserve">'2025061170106606600301125'  </t>
  </si>
  <si>
    <t>'TRAN00277430'</t>
  </si>
  <si>
    <t xml:space="preserve">'TRAN00277430'  </t>
  </si>
  <si>
    <t>Funds Recived</t>
  </si>
  <si>
    <t>'ERM1314793349'</t>
  </si>
  <si>
    <t xml:space="preserve">'ERM1314793349'  </t>
  </si>
  <si>
    <t>'ERM1327446056'</t>
  </si>
  <si>
    <t xml:space="preserve">'ERM1327446056'  </t>
  </si>
  <si>
    <t>'TRAN00286669'</t>
  </si>
  <si>
    <t xml:space="preserve">'TRAN00286669'  </t>
  </si>
  <si>
    <t>'ERM1333557573'</t>
  </si>
  <si>
    <t xml:space="preserve">'ERM1333557573'  </t>
  </si>
  <si>
    <t>'TRAN00291203'</t>
  </si>
  <si>
    <t xml:space="preserve">'TRAN00291203'  </t>
  </si>
  <si>
    <t>'ERM1370256292'</t>
  </si>
  <si>
    <t xml:space="preserve">'ERM1370256292'  </t>
  </si>
  <si>
    <t>Funds recived</t>
  </si>
  <si>
    <t xml:space="preserve">'ERM1387327313'  </t>
  </si>
  <si>
    <t xml:space="preserve">'TRAN00294121'  </t>
  </si>
  <si>
    <t>Hashan</t>
  </si>
  <si>
    <t xml:space="preserve">Loan recived  </t>
  </si>
  <si>
    <t>'VXD Gift Packs0024746321'</t>
  </si>
  <si>
    <t xml:space="preserve">'VXD Gift Packs0024746321'  </t>
  </si>
  <si>
    <t>Gift Packs</t>
  </si>
  <si>
    <t>'Payment for Gifts0025080608'</t>
  </si>
  <si>
    <t>Payment for Gifts0025080608'   Happy Share</t>
  </si>
  <si>
    <t>'SVC-0025835249-VXD Payment'</t>
  </si>
  <si>
    <t xml:space="preserve">'SVC-0025835249-VXD Payment'  </t>
  </si>
  <si>
    <t>HR service Annual Subscrption</t>
  </si>
  <si>
    <t>'VXD Payment0025403289'</t>
  </si>
  <si>
    <t xml:space="preserve">'VXD Payment0025403289'  </t>
  </si>
  <si>
    <t xml:space="preserve">Jay Akash -Outsource </t>
  </si>
  <si>
    <t>'SVC-0025403265-VXD Payment'</t>
  </si>
  <si>
    <t xml:space="preserve">'SVC-0025403265-VXD Payment'  </t>
  </si>
  <si>
    <t>Lahiru Kahawatte- Outsource</t>
  </si>
  <si>
    <t>Lahiru Kahawatte</t>
  </si>
  <si>
    <t xml:space="preserve">'SVC-0025966417-VXD Payment'  </t>
  </si>
  <si>
    <t>'VXD Payment0025291487'</t>
  </si>
  <si>
    <t xml:space="preserve">'VXD Payment0025291487'  </t>
  </si>
  <si>
    <t>Leagl Fee</t>
  </si>
  <si>
    <t>'VXD Payment0025500981'</t>
  </si>
  <si>
    <t xml:space="preserve">'VXD Payment0025500981'  </t>
  </si>
  <si>
    <t>Dilani Marian</t>
  </si>
  <si>
    <t xml:space="preserve">'VXD Payment0025966414'  </t>
  </si>
  <si>
    <t>'VXD Payment0025772818'</t>
  </si>
  <si>
    <t xml:space="preserve">'VXD Payment0025772818'  </t>
  </si>
  <si>
    <t>Mac Book Purchasing</t>
  </si>
  <si>
    <t>'SVC-0026425385-VXD Payment'</t>
  </si>
  <si>
    <t xml:space="preserve">Luxury balance payemnt  </t>
  </si>
  <si>
    <t>Macbook Puerchase -Balance</t>
  </si>
  <si>
    <t>Maneesha</t>
  </si>
  <si>
    <t xml:space="preserve">'VXD Payment0026076419'  </t>
  </si>
  <si>
    <t>Maneesh Erandi- Paymnt Ourtsouce servces</t>
  </si>
  <si>
    <t>'VXD Payment0025080603'</t>
  </si>
  <si>
    <t xml:space="preserve">'VXD Payment0025080603'  </t>
  </si>
  <si>
    <t>Nishani -Sundry expencess</t>
  </si>
  <si>
    <t>'VXD Payment0026425412'</t>
  </si>
  <si>
    <t xml:space="preserve">Core Labs  </t>
  </si>
  <si>
    <t>Office gathering Expences</t>
  </si>
  <si>
    <t>'VXD Payment0026425387'</t>
  </si>
  <si>
    <t xml:space="preserve">Sandun  </t>
  </si>
  <si>
    <t>Outsouce service -Payment</t>
  </si>
  <si>
    <t>'VXD Payment0026425388'</t>
  </si>
  <si>
    <t xml:space="preserve">Sankalpana  </t>
  </si>
  <si>
    <t>'VXD Reimbursement0026425390'</t>
  </si>
  <si>
    <t xml:space="preserve">Hansini Reimbursment  </t>
  </si>
  <si>
    <t>Postal Charges</t>
  </si>
  <si>
    <t>Happy Share - Printing</t>
  </si>
  <si>
    <t xml:space="preserve">Happy Share - Printing  </t>
  </si>
  <si>
    <t>Printig &amp; Statinaries</t>
  </si>
  <si>
    <t>Hansini Reimbursement</t>
  </si>
  <si>
    <t xml:space="preserve">Hansini  </t>
  </si>
  <si>
    <t>'0024973865-VXD Salar010110002365PHI Jayaweera'</t>
  </si>
  <si>
    <t xml:space="preserve">'0024973865-VXD Salar010110002365PHI Jayaweera'  </t>
  </si>
  <si>
    <t>Salary</t>
  </si>
  <si>
    <t>'0024973866-VXD Allow010110002365M T N Fernando'</t>
  </si>
  <si>
    <t xml:space="preserve">'0024973866-VXD Allow010110002365M T N Fernando'  </t>
  </si>
  <si>
    <t>'0024973868-VXD Allow010110002365MIF R Illyas'</t>
  </si>
  <si>
    <t xml:space="preserve">'0024973868-VXD Allow010110002365MIF R Illyas'  </t>
  </si>
  <si>
    <t>'0024973870-VXD Allow010110002365MAT Nirmani'</t>
  </si>
  <si>
    <t xml:space="preserve">'0024973870-VXD Allow010110002365MAT Nirmani'  </t>
  </si>
  <si>
    <t>'0024973871-VXD Allow010110002365LATC Liyanaarachch'</t>
  </si>
  <si>
    <t xml:space="preserve">'0024973871-VXD Allow010110002365LATC Liyanaarachch'  </t>
  </si>
  <si>
    <t>'0024973872-VXD Allow010110002365KAYPKaveeshwara'</t>
  </si>
  <si>
    <t xml:space="preserve">'0024973872-VXD Allow010110002365KAYPKaveeshwara'  </t>
  </si>
  <si>
    <t>'0024973874-VXD Allow010110002365R P C Thenuka'</t>
  </si>
  <si>
    <t xml:space="preserve">'0024973874-VXD Allow010110002365R P C Thenuka'  </t>
  </si>
  <si>
    <t>'0024973875-VXD Allow010110002365H M D N HERATH'</t>
  </si>
  <si>
    <t xml:space="preserve">'0024973875-VXD Allow010110002365H M D N HERATH'  </t>
  </si>
  <si>
    <t>'0024973876-VXD Allow010110002365M G S N R Bandara'</t>
  </si>
  <si>
    <t xml:space="preserve">'0024973876-VXD Allow010110002365M G S N R Bandara'  </t>
  </si>
  <si>
    <t>'0024973877-VXD Allow010110002365PDVitharana'</t>
  </si>
  <si>
    <t xml:space="preserve">'0024973877-VXD Allow010110002365PDVitharana'  </t>
  </si>
  <si>
    <t>'0024973878-VXD Allow010110002365KPirashoban'</t>
  </si>
  <si>
    <t xml:space="preserve">'0024973878-VXD Allow010110002365KPirashoban'  </t>
  </si>
  <si>
    <t>'0024973879-VXD Allow010110002365WDI Shakya'</t>
  </si>
  <si>
    <t xml:space="preserve">'0024973879-VXD Allow010110002365WDI Shakya'  </t>
  </si>
  <si>
    <t>'0024973880-VXD Allow010110002365KMLPKKappagoda'</t>
  </si>
  <si>
    <t xml:space="preserve">'0024973880-VXD Allow010110002365KMLPKKappagoda'  </t>
  </si>
  <si>
    <t>'0024973882-VXD Allow010110002365LC Wimalarathna'</t>
  </si>
  <si>
    <t xml:space="preserve">'0024973882-VXD Allow010110002365LC Wimalarathna'  </t>
  </si>
  <si>
    <t>'0024973883-VXD Allow010110002365ALRIlham'</t>
  </si>
  <si>
    <t xml:space="preserve">'0024973883-VXD Allow010110002365ALRIlham'  </t>
  </si>
  <si>
    <t>'0024973884-VXD Salar010110002365WMNK Wanninayake'</t>
  </si>
  <si>
    <t xml:space="preserve">'0024973884-VXD Salar010110002365WMNK Wanninayake'  </t>
  </si>
  <si>
    <t>'0024973885-VXD Salar010110002365WHMNH Warakaulla'</t>
  </si>
  <si>
    <t xml:space="preserve">'0024973885-VXD Salar010110002365WHMNH Warakaulla'  </t>
  </si>
  <si>
    <t>'0024973886-VXD Salar010110002365WAS Mendis'</t>
  </si>
  <si>
    <t xml:space="preserve">'0024973886-VXD Salar010110002365WAS Mendis'  </t>
  </si>
  <si>
    <t>'0024973887-VXD Salar010110002365HGAS Jayalath'</t>
  </si>
  <si>
    <t xml:space="preserve">'0024973887-VXD Salar010110002365HGAS Jayalath'  </t>
  </si>
  <si>
    <t>'0024973888-VXD Salar010110002365RRANN Jayawardena'</t>
  </si>
  <si>
    <t xml:space="preserve">'0024973888-VXD Salar010110002365RRANN Jayawardena'  </t>
  </si>
  <si>
    <t>'0024973889-VXD Salar010110002365KNS Dissanayake'</t>
  </si>
  <si>
    <t xml:space="preserve">'0024973889-VXD Salar010110002365KNS Dissanayake'  </t>
  </si>
  <si>
    <t>'0024973891-VXD Salar010110002365EPGP Ediriweera'</t>
  </si>
  <si>
    <t xml:space="preserve">'0024973891-VXD Salar010110002365EPGP Ediriweera'  </t>
  </si>
  <si>
    <t>'SVC-0024973894-Consultation Fee'</t>
  </si>
  <si>
    <t xml:space="preserve">'SVC-0024973894-Consultation Fee'  </t>
  </si>
  <si>
    <t>'Consultation Fee0024973899'</t>
  </si>
  <si>
    <t xml:space="preserve">'Consultation Fee0024973899'  </t>
  </si>
  <si>
    <t>'Consultation Fee0024973901'</t>
  </si>
  <si>
    <t xml:space="preserve">'Consultation Fee0024973901'  </t>
  </si>
  <si>
    <t>'Consultation Fee0024973903'</t>
  </si>
  <si>
    <t xml:space="preserve">'Consultation Fee0024973903'  </t>
  </si>
  <si>
    <t>'0025403243-VXD Salar010110002365PHI Jayaweera'</t>
  </si>
  <si>
    <t xml:space="preserve">'0025403243-VXD Salar010110002365PHI Jayaweera'  </t>
  </si>
  <si>
    <t>'0025403244-VXD Allow010110002365M T N Fernando'</t>
  </si>
  <si>
    <t xml:space="preserve">'0025403244-VXD Allow010110002365M T N Fernando'  </t>
  </si>
  <si>
    <t>'0025403245-VXD Allow010110002365MIF R Illyas'</t>
  </si>
  <si>
    <t xml:space="preserve">'0025403245-VXD Allow010110002365MIF R Illyas'  </t>
  </si>
  <si>
    <t>'0025403246-VXD Allow010110002365MAT Nirmani'</t>
  </si>
  <si>
    <t xml:space="preserve">'0025403246-VXD Allow010110002365MAT Nirmani'  </t>
  </si>
  <si>
    <t>'0025403247-VXD Allow010110002365LATC Liyanaarachch'</t>
  </si>
  <si>
    <t xml:space="preserve">'0025403247-VXD Allow010110002365LATC Liyanaarachch'  </t>
  </si>
  <si>
    <t>'0025403248-VXD Allow010110002365KAYPKaveeshwara'</t>
  </si>
  <si>
    <t xml:space="preserve">'0025403248-VXD Allow010110002365KAYPKaveeshwara'  </t>
  </si>
  <si>
    <t>'0025403227-VXD Allow010110002365R P C Thenuka'</t>
  </si>
  <si>
    <t xml:space="preserve">'0025403227-VXD Allow010110002365R P C Thenuka'  </t>
  </si>
  <si>
    <t>'0025403249-VXD Allow010110002365H M D N HERATH'</t>
  </si>
  <si>
    <t xml:space="preserve">'0025403249-VXD Allow010110002365H M D N HERATH'  </t>
  </si>
  <si>
    <t>'0025403250-VXD Allow010110002365M G S N R Bandara'</t>
  </si>
  <si>
    <t xml:space="preserve">'0025403250-VXD Allow010110002365M G S N R Bandara'  </t>
  </si>
  <si>
    <t>'0025403251-VXD Allow010110002365PDVitharana'</t>
  </si>
  <si>
    <t xml:space="preserve">'0025403251-VXD Allow010110002365PDVitharana'  </t>
  </si>
  <si>
    <t>'0025403252-VXD Allow010110002365KPirashoban'</t>
  </si>
  <si>
    <t xml:space="preserve">'0025403252-VXD Allow010110002365KPirashoban'  </t>
  </si>
  <si>
    <t>'0025403253-VXD Allow010110002365WDI Shakya'</t>
  </si>
  <si>
    <t xml:space="preserve">'0025403253-VXD Allow010110002365WDI Shakya'  </t>
  </si>
  <si>
    <t>'0025403254-VXD Allow010110002365KMLPKKappagoda'</t>
  </si>
  <si>
    <t xml:space="preserve">'0025403254-VXD Allow010110002365KMLPKKappagoda'  </t>
  </si>
  <si>
    <t>'0025403255-VXD Allow010110002365LC Wimalarathna'</t>
  </si>
  <si>
    <t xml:space="preserve">'0025403255-VXD Allow010110002365LC Wimalarathna'  </t>
  </si>
  <si>
    <t>'0025403256-VXD Allow010110002365ALRIlham'</t>
  </si>
  <si>
    <t xml:space="preserve">'0025403256-VXD Allow010110002365ALRIlham'  </t>
  </si>
  <si>
    <t>'0025403257-VXD Salar010110002365WMNK Wanninayake'</t>
  </si>
  <si>
    <t xml:space="preserve">'0025403257-VXD Salar010110002365WMNK Wanninayake'  </t>
  </si>
  <si>
    <t>'0025403258-VXD Salar010110002365WHMNH Warakaulla'</t>
  </si>
  <si>
    <t xml:space="preserve">'0025403258-VXD Salar010110002365WHMNH Warakaulla'  </t>
  </si>
  <si>
    <t>'0025403259-VXD Salar010110002365WAS Mendis'</t>
  </si>
  <si>
    <t xml:space="preserve">'0025403259-VXD Salar010110002365WAS Mendis'  </t>
  </si>
  <si>
    <t>'0025403260-VXD Salar010110002365HGAS Jayalath'</t>
  </si>
  <si>
    <t xml:space="preserve">'0025403260-VXD Salar010110002365HGAS Jayalath'  </t>
  </si>
  <si>
    <t>'0025403261-VXD Salar010110002365RRANN Jayawardena'</t>
  </si>
  <si>
    <t xml:space="preserve">'0025403261-VXD Salar010110002365RRANN Jayawardena'  </t>
  </si>
  <si>
    <t>'0025403262-VXD Salar010110002365KNS Dissanayake'</t>
  </si>
  <si>
    <t xml:space="preserve">'0025403262-VXD Salar010110002365KNS Dissanayake'  </t>
  </si>
  <si>
    <t>'0025403263-VXD Salar010110002365EPGP Ediriweera'</t>
  </si>
  <si>
    <t xml:space="preserve">'0025403263-VXD Salar010110002365EPGP Ediriweera'  </t>
  </si>
  <si>
    <t>'SVC-0025403267-Consultation Fee'</t>
  </si>
  <si>
    <t xml:space="preserve">'SVC-0025403267-Consultation Fee'  </t>
  </si>
  <si>
    <t>'Consultation Fee0025403273'</t>
  </si>
  <si>
    <t xml:space="preserve">'Consultation Fee0025403273'  </t>
  </si>
  <si>
    <t>'Consultation Fee0025403275'</t>
  </si>
  <si>
    <t xml:space="preserve">'Consultation Fee0025403275'  </t>
  </si>
  <si>
    <t>'Consultation Fee0025403282'</t>
  </si>
  <si>
    <t xml:space="preserve">'Consultation Fee0025403282'  </t>
  </si>
  <si>
    <t>'0025872317-VXD Salar010110002365PHI Jayaweera'</t>
  </si>
  <si>
    <t xml:space="preserve">'0025872317-VXD Salar010110002365PHI Jayaweera'  </t>
  </si>
  <si>
    <t>'0025872318-VXD Allow010110002365M T N Fernando'</t>
  </si>
  <si>
    <t xml:space="preserve">'0025872318-VXD Allow010110002365M T N Fernando'  </t>
  </si>
  <si>
    <t>'0025872319-VXD Allow010110002365MIF R Illyas'</t>
  </si>
  <si>
    <t xml:space="preserve">'0025872319-VXD Allow010110002365MIF R Illyas'  </t>
  </si>
  <si>
    <t>'0025872320-VXD Allow010110002365MAT Nirmani'</t>
  </si>
  <si>
    <t xml:space="preserve">'0025872320-VXD Allow010110002365MAT Nirmani'  </t>
  </si>
  <si>
    <t>'0025872321-VXD Allow010110002365LATC Liyanaarachch'</t>
  </si>
  <si>
    <t xml:space="preserve">'0025872321-VXD Allow010110002365LATC Liyanaarachch'  </t>
  </si>
  <si>
    <t>'0025872322-VXD Allow010110002365KAYPKaveeshwara'</t>
  </si>
  <si>
    <t xml:space="preserve">'0025872322-VXD Allow010110002365KAYPKaveeshwara'  </t>
  </si>
  <si>
    <t>'0025872324-VXD Allow010110002365R P C Thenuka'</t>
  </si>
  <si>
    <t xml:space="preserve">'0025872324-VXD Allow010110002365R P C Thenuka'  </t>
  </si>
  <si>
    <t>'0025872325-VXD Allow010110002365M G S N R Bandara'</t>
  </si>
  <si>
    <t xml:space="preserve">'0025872325-VXD Allow010110002365M G S N R Bandara'  </t>
  </si>
  <si>
    <t>'0025872326-VXD Allow010110002365PDVitharana'</t>
  </si>
  <si>
    <t xml:space="preserve">'0025872326-VXD Allow010110002365PDVitharana'  </t>
  </si>
  <si>
    <t>'0025872327-VXD Allow010110002365KPirashoban'</t>
  </si>
  <si>
    <t xml:space="preserve">'0025872327-VXD Allow010110002365KPirashoban'  </t>
  </si>
  <si>
    <t>'0025872328-VXD Allow010110002365WDI Shakya'</t>
  </si>
  <si>
    <t xml:space="preserve">'0025872328-VXD Allow010110002365WDI Shakya'  </t>
  </si>
  <si>
    <t>'0025872329-VXD Allow010110002365KMLPKKappagoda'</t>
  </si>
  <si>
    <t xml:space="preserve">'0025872329-VXD Allow010110002365KMLPKKappagoda'  </t>
  </si>
  <si>
    <t>'0025872294-VXD Allow010110002365LC Wimalarathna'</t>
  </si>
  <si>
    <t xml:space="preserve">'0025872294-VXD Allow010110002365LC Wimalarathna'  </t>
  </si>
  <si>
    <t>'0025872330-VXD Allow010110002365ALRIlham'</t>
  </si>
  <si>
    <t xml:space="preserve">'0025872330-VXD Allow010110002365ALRIlham'  </t>
  </si>
  <si>
    <t>'0025872331-VXD Salar010110002365WMNK Wanninayake'</t>
  </si>
  <si>
    <t xml:space="preserve">'0025872331-VXD Salar010110002365WMNK Wanninayake'  </t>
  </si>
  <si>
    <t>'0025872295-VXD Salar010110002365WHMNH Warakaulla'</t>
  </si>
  <si>
    <t xml:space="preserve">'0025872295-VXD Salar010110002365WHMNH Warakaulla'  </t>
  </si>
  <si>
    <t>'0025872332-VXD Salar010110002365WAS Mendis'</t>
  </si>
  <si>
    <t xml:space="preserve">'0025872332-VXD Salar010110002365WAS Mendis'  </t>
  </si>
  <si>
    <t>'0025872333-VXD Salar010110002365HGAS Jayalath'</t>
  </si>
  <si>
    <t xml:space="preserve">'0025872333-VXD Salar010110002365HGAS Jayalath'  </t>
  </si>
  <si>
    <t>'0025872334-VXD Salar010110002365RRANN Jayawardena'</t>
  </si>
  <si>
    <t xml:space="preserve">'0025872334-VXD Salar010110002365RRANN Jayawardena'  </t>
  </si>
  <si>
    <t>'0025872335-VXD Salar010110002365KNS Dissanayake'</t>
  </si>
  <si>
    <t xml:space="preserve">'0025872335-VXD Salar010110002365KNS Dissanayake'  </t>
  </si>
  <si>
    <t>'0025872336-VXD Salar010110002365EPGP Ediriweera'</t>
  </si>
  <si>
    <t xml:space="preserve">'0025872336-VXD Salar010110002365EPGP Ediriweera'  </t>
  </si>
  <si>
    <t>'SVC-0025872337-Consultation Fee'</t>
  </si>
  <si>
    <t xml:space="preserve">'SVC-0025872337-Consultation Fee'  </t>
  </si>
  <si>
    <t>'Consultation Fee0025872499'</t>
  </si>
  <si>
    <t xml:space="preserve">'Consultation Fee0025872499'  </t>
  </si>
  <si>
    <t>'Consultation Fee0025872501'</t>
  </si>
  <si>
    <t xml:space="preserve">'Consultation Fee0025872501'  </t>
  </si>
  <si>
    <t>'Consultation Fee0025872504'</t>
  </si>
  <si>
    <t xml:space="preserve">'Consultation Fee0025872504'  </t>
  </si>
  <si>
    <t>'0026383301-VXD Salar010110002365PHI Jayaweera'</t>
  </si>
  <si>
    <t xml:space="preserve">Hansini Jayaweera  </t>
  </si>
  <si>
    <t>'0026383303-VXD Allow010110002365M T N Fernando'</t>
  </si>
  <si>
    <t xml:space="preserve">M T N Fernando  </t>
  </si>
  <si>
    <t>'0026383304-VXD Allow010110002365MIF R Illyas'</t>
  </si>
  <si>
    <t xml:space="preserve">R Illyas  </t>
  </si>
  <si>
    <t>'0026383284-VXD Allow010110002365MAT Nirmani'</t>
  </si>
  <si>
    <t xml:space="preserve">Intern  </t>
  </si>
  <si>
    <t>'0026383285-VXD Allow010110002365LATC Liyanaarachch'</t>
  </si>
  <si>
    <t>'0026383287-VXD Allow010110002365KAYPKaveeshwara'</t>
  </si>
  <si>
    <t>'0026383305-VXD Allow010110002365R P C Thenuka'</t>
  </si>
  <si>
    <t>'0026383290-VXD Allow010110002365M G S N R Bandara'</t>
  </si>
  <si>
    <t>'0026383291-VXD Allow010110002365PDVitharana'</t>
  </si>
  <si>
    <t>'0026383293-VXD Allow010110002365KPirashoban'</t>
  </si>
  <si>
    <t>'0026383294-VXD Allow010110002365WDI Shakya'</t>
  </si>
  <si>
    <t>'0026383295-VXD Allow010110002365KMLPKKappagoda'</t>
  </si>
  <si>
    <t>'0026383296-VXD Allow010110002365LC Wimalarathna'</t>
  </si>
  <si>
    <t>'0026383318-VXD Allow010110002365ALRIlham'</t>
  </si>
  <si>
    <t>'0026383320-VXD Salar010110002365WMNK Wanninayake'</t>
  </si>
  <si>
    <t xml:space="preserve">Salary  </t>
  </si>
  <si>
    <t>'0026383321-VXD Salar010110002365WHMNH Warakaulla'</t>
  </si>
  <si>
    <t>'0026383322-VXD Salar010110002365WAS Mendis'</t>
  </si>
  <si>
    <t>'0026383323-VXD Salar010110002365HGAS Jayalath'</t>
  </si>
  <si>
    <t>'0026383324-VXD Salar010110002365RRANN Jayawardena'</t>
  </si>
  <si>
    <t>'0026383325-VXD Salar010110002365KNS Dissanayake'</t>
  </si>
  <si>
    <t>'0026383326-VXD Salar010110002365EPGP Ediriweera'</t>
  </si>
  <si>
    <t>'SVC-0026383328-Consultation Fee'</t>
  </si>
  <si>
    <t>'Consultation Fee0026383315'</t>
  </si>
  <si>
    <t>'Consultation Fee0026383338'</t>
  </si>
  <si>
    <t>'Consultation Fee0026383341'</t>
  </si>
  <si>
    <t>'VXD Bi-Week Salary0025080601'</t>
  </si>
  <si>
    <t xml:space="preserve">'VXD Bi-Week Salary0025080601'  </t>
  </si>
  <si>
    <t>Salary-Bi week</t>
  </si>
  <si>
    <t>'VXD Payment0025291453'</t>
  </si>
  <si>
    <t xml:space="preserve">'VXD Payment0025291453'  </t>
  </si>
  <si>
    <t>Sandun-Outsource</t>
  </si>
  <si>
    <t>'VXD Payment0025835230'</t>
  </si>
  <si>
    <t xml:space="preserve">'VXD Payment0025835230'  </t>
  </si>
  <si>
    <t>'VXD Payment0025080611'</t>
  </si>
  <si>
    <t xml:space="preserve">'VXD Payment0025080611'  </t>
  </si>
  <si>
    <t>Sanklpana-Outsource</t>
  </si>
  <si>
    <t>'VXD Payment0025403284'</t>
  </si>
  <si>
    <t xml:space="preserve">'VXD Payment0025403284'  </t>
  </si>
  <si>
    <t>'VXD Payment0025835234'</t>
  </si>
  <si>
    <t xml:space="preserve">'VXD Payment0025835234'  </t>
  </si>
  <si>
    <t>'SVC-0025500919-VXD Reimbursement'</t>
  </si>
  <si>
    <t>eCom Adobe</t>
  </si>
  <si>
    <t>Subscription</t>
  </si>
  <si>
    <t>Browser Stack Web</t>
  </si>
  <si>
    <t>Browser Stack Mob</t>
  </si>
  <si>
    <t>'SVC-0025619450-VXD Reimbursement'</t>
  </si>
  <si>
    <t>Click Up</t>
  </si>
  <si>
    <t>SAS QA Server</t>
  </si>
  <si>
    <t>'SVC-0025835246-VXD Reimbursement'</t>
  </si>
  <si>
    <t>Microsoft Azure/Devop</t>
  </si>
  <si>
    <t>FIGMA</t>
  </si>
  <si>
    <t>Envato</t>
  </si>
  <si>
    <t>SAI server</t>
  </si>
  <si>
    <t>'SVC-0024973893-VXD Reimbursement'</t>
  </si>
  <si>
    <t>Microsoft Azure/Devops</t>
  </si>
  <si>
    <t xml:space="preserve">Subscription </t>
  </si>
  <si>
    <t>'SVC-0025291444-VXD Reimbursement'</t>
  </si>
  <si>
    <t xml:space="preserve">Click Up </t>
  </si>
  <si>
    <t>FIGMA (May)</t>
  </si>
  <si>
    <t>SAI Server (May)</t>
  </si>
  <si>
    <t>'SVC-0025403266-VXD Reimbursement'</t>
  </si>
  <si>
    <t>Azure</t>
  </si>
  <si>
    <t>Pramod Randima</t>
  </si>
  <si>
    <t xml:space="preserve">Subscription - SAS Server  </t>
  </si>
  <si>
    <t>'VXD Reimbursement0025835250'</t>
  </si>
  <si>
    <t xml:space="preserve">'VXD Reimbursement0025835250'  </t>
  </si>
  <si>
    <t>Sundry Expences- Hansini</t>
  </si>
  <si>
    <t>'VXD Reimbursement0025500957'</t>
  </si>
  <si>
    <t xml:space="preserve">'VXD Reimbursement0025500957'  </t>
  </si>
  <si>
    <t>Sundry expences-Hansini</t>
  </si>
  <si>
    <t>'VXD Payment0025291481'</t>
  </si>
  <si>
    <t xml:space="preserve">'VXD Payment0025291481'  </t>
  </si>
  <si>
    <t>Sundry expences-Nishani</t>
  </si>
  <si>
    <t>'VXD Reimbursement0025500949'</t>
  </si>
  <si>
    <t xml:space="preserve">'VXD Reimbursement0025500949'  </t>
  </si>
  <si>
    <t>I-Labs</t>
  </si>
  <si>
    <t xml:space="preserve">T Shirt Printing  </t>
  </si>
  <si>
    <t>Geesara Ediriweera</t>
  </si>
  <si>
    <t xml:space="preserve">Reimbursment-T shirt+Flex  </t>
  </si>
  <si>
    <t>T-shirt  +Flex Printing</t>
  </si>
  <si>
    <t>Dyneesco</t>
  </si>
  <si>
    <t xml:space="preserve">'SVC-0026076422-VXD Advance Payment'  </t>
  </si>
  <si>
    <t>Web Desiging Advance paymnet</t>
  </si>
  <si>
    <t>'VXD Bi-Week Pay0024746326'</t>
  </si>
  <si>
    <t xml:space="preserve">'VXD Bi-Week Pay0024746326'  </t>
  </si>
  <si>
    <t>Weekly Paymnt for out source</t>
  </si>
  <si>
    <t>'SVC-0024746316-VXD Reimbursement'</t>
  </si>
  <si>
    <t xml:space="preserve">'SVC-0024746316-VXD Reimbursement'  </t>
  </si>
  <si>
    <t>'VXD Payment0024973905'</t>
  </si>
  <si>
    <t xml:space="preserve">'VXD Payment0024973905'  </t>
  </si>
  <si>
    <t>'VXD Payment0025403296'</t>
  </si>
  <si>
    <t xml:space="preserve">'VXD Payment0025403296'  </t>
  </si>
  <si>
    <t>'VXD Payment0025872505'</t>
  </si>
  <si>
    <t xml:space="preserve">'VXD Payment0025872505'  </t>
  </si>
  <si>
    <t>lahiru Kahawatte- Outsource</t>
  </si>
  <si>
    <t>Anusha Jayalath- The nest Invocie</t>
  </si>
  <si>
    <t xml:space="preserve">'VXD Reimbursement0025966412'  </t>
  </si>
  <si>
    <t>Hansini Reimbursmenmt</t>
  </si>
  <si>
    <t xml:space="preserve">'VXD Reimbursement0025966413'  </t>
  </si>
  <si>
    <t>Prmod Reim</t>
  </si>
  <si>
    <t xml:space="preserve">'SVC-0026076426-VXD Reimbursement'  </t>
  </si>
  <si>
    <t xml:space="preserve">'SVC-0026076429-VXD Reimbursement'  </t>
  </si>
  <si>
    <t>Anusha Jayalath</t>
  </si>
  <si>
    <t xml:space="preserve">'VXD Payment0026081266'  </t>
  </si>
  <si>
    <t>Barevavement -Death donation</t>
  </si>
  <si>
    <t>Pramod  Randima</t>
  </si>
  <si>
    <t>FIGMA- Subscriptions</t>
  </si>
  <si>
    <t>Envato-Subscription</t>
  </si>
  <si>
    <t>Hansini Jayaweera</t>
  </si>
  <si>
    <t>Rubber Stamp- Sundry Expences</t>
  </si>
  <si>
    <t>'VXD Payment0026383358'</t>
  </si>
  <si>
    <t>Pramod Reimburse</t>
  </si>
  <si>
    <t xml:space="preserve">Click Up Payment </t>
  </si>
  <si>
    <t>Badu Deal</t>
  </si>
  <si>
    <t>Microphone, USB Hub &amp; Bluetooth</t>
  </si>
  <si>
    <t>Sense.lk</t>
  </si>
  <si>
    <t>Cabel Convertors</t>
  </si>
  <si>
    <t xml:space="preserve">Wireless Microphone </t>
  </si>
  <si>
    <t>Cargills &amp; Popyes</t>
  </si>
  <si>
    <t>Foods &amp; Beverages</t>
  </si>
  <si>
    <t>Cash Supplier</t>
  </si>
  <si>
    <t xml:space="preserve">Camera Rent </t>
  </si>
  <si>
    <t>Udemy Acedemy</t>
  </si>
  <si>
    <t>Course Fee</t>
  </si>
  <si>
    <t xml:space="preserve">SAS QA Server           </t>
  </si>
  <si>
    <t>Subscriptions</t>
  </si>
  <si>
    <t xml:space="preserve">VXD SSL Certificate       </t>
  </si>
  <si>
    <t>Type</t>
  </si>
  <si>
    <t>Total</t>
  </si>
  <si>
    <t>Bank Balance as at  01 Jul 2025</t>
  </si>
  <si>
    <t>Balance as 31 Jul 2025</t>
  </si>
  <si>
    <t>Directors Loan</t>
  </si>
  <si>
    <t>Expenses LKR</t>
  </si>
  <si>
    <t>Receiving LKR</t>
  </si>
  <si>
    <t xml:space="preserve">Loan received  </t>
  </si>
  <si>
    <t>Funds Received</t>
  </si>
  <si>
    <t xml:space="preserve">Luxury Advance Payment  </t>
  </si>
  <si>
    <t>Advance Payment for Mac books</t>
  </si>
  <si>
    <t>Sameela Mirando</t>
  </si>
  <si>
    <t xml:space="preserve">Booked Keeping service June 2025  </t>
  </si>
  <si>
    <t>Bookkeeping Service</t>
  </si>
  <si>
    <t xml:space="preserve">Reimbursement-T shirt+Flex  </t>
  </si>
  <si>
    <t xml:space="preserve">Hansini Reimbursement  </t>
  </si>
  <si>
    <t>Rubber Stamp- Sundry Expenses</t>
  </si>
  <si>
    <t xml:space="preserve">Luxury balance payment  </t>
  </si>
  <si>
    <t>MacBook Purchase -Balance</t>
  </si>
  <si>
    <t>Office gathering Expenses</t>
  </si>
  <si>
    <t>Outsource service -Payment</t>
  </si>
  <si>
    <t>Printing &amp; Stationaries</t>
  </si>
  <si>
    <t>Cargills &amp; Poppies</t>
  </si>
  <si>
    <t>Udemy Academy</t>
  </si>
  <si>
    <t>Expenses</t>
  </si>
  <si>
    <t>'TRAN00300922'</t>
  </si>
  <si>
    <t>Funds/Loan Received</t>
  </si>
  <si>
    <t>'ERM1454780246'</t>
  </si>
  <si>
    <t>'ERM1471904025'</t>
  </si>
  <si>
    <t>'Fee:CEFT_SLIPS Vishwa Fund Tfr_31-07-2025'</t>
  </si>
  <si>
    <t>Bank Chargers</t>
  </si>
  <si>
    <t>'SVC-0026823138'</t>
  </si>
  <si>
    <t xml:space="preserve">Dialog Axiata PLC, </t>
  </si>
  <si>
    <t>'VXD Reimbursement0026823140'</t>
  </si>
  <si>
    <t>Sakunika Karunaratne</t>
  </si>
  <si>
    <t>'VXD Reimbursement0026823142'</t>
  </si>
  <si>
    <t xml:space="preserve">Ashan </t>
  </si>
  <si>
    <t>'VXD Reimbursement0026823143'</t>
  </si>
  <si>
    <t>Kusal Disanayake</t>
  </si>
  <si>
    <t>'VXD Payment0026823144'</t>
  </si>
  <si>
    <t>Sandun Idurangana</t>
  </si>
  <si>
    <t>Monthly payment-outsource service</t>
  </si>
  <si>
    <t>'VXD Reimbursement0026823145'</t>
  </si>
  <si>
    <t>Prabath Gamage</t>
  </si>
  <si>
    <t>'VXD Reimbursement0026823146'</t>
  </si>
  <si>
    <t>Wasantha</t>
  </si>
  <si>
    <t>'VXD Payment0026823147'</t>
  </si>
  <si>
    <t>Ruwin Wijesinghe</t>
  </si>
  <si>
    <t>Advance payment SAS Web Design</t>
  </si>
  <si>
    <t>'VXD Payment0026887926'</t>
  </si>
  <si>
    <t>Pramod Randima Reimbursement</t>
  </si>
  <si>
    <t>Baseus Colombo</t>
  </si>
  <si>
    <t xml:space="preserve">OTG Adaptor +Delivery </t>
  </si>
  <si>
    <t>Namechip Inc.</t>
  </si>
  <si>
    <t>SAI Server Subscription</t>
  </si>
  <si>
    <t>'SVC-0026887930-VXD Payment'</t>
  </si>
  <si>
    <t>Lahiru Kahwatte</t>
  </si>
  <si>
    <t>'250713100640026887913'</t>
  </si>
  <si>
    <t xml:space="preserve">EPF Department -July 2025  </t>
  </si>
  <si>
    <t>'Fee:CEFT_SLIPS Vishwa Fund Tfr_14-08-2025'</t>
  </si>
  <si>
    <t>'Consultation Fee0026904082'</t>
  </si>
  <si>
    <t>'Fee:CEFT_SLIPS Vishwa Fund Tfr_15-08-2025'</t>
  </si>
  <si>
    <t>'SVC-0026985613-VXD Payment'</t>
  </si>
  <si>
    <t xml:space="preserve">Better HR- </t>
  </si>
  <si>
    <t>HR software Charges</t>
  </si>
  <si>
    <t>'SVC-0026985617-VXD Advance Pay'</t>
  </si>
  <si>
    <t>The Luxury</t>
  </si>
  <si>
    <t>Advance Payment of Mac Books</t>
  </si>
  <si>
    <t>Adobe System Software</t>
  </si>
  <si>
    <t xml:space="preserve">Creative Cloud Pro </t>
  </si>
  <si>
    <t>SAS QA Server Subscription</t>
  </si>
  <si>
    <t>'VXD Payment0026985706'</t>
  </si>
  <si>
    <t>Nexxcom -</t>
  </si>
  <si>
    <t>Purchase Convertor Cabel</t>
  </si>
  <si>
    <t>'VXD Sponsorship0026985722'</t>
  </si>
  <si>
    <t>University of Colombo- Basket Ball team</t>
  </si>
  <si>
    <t>Donation</t>
  </si>
  <si>
    <t>'Fee:CEFT_SLIPS Vishwa Fund Tfr_20-08-2025'</t>
  </si>
  <si>
    <t>'SVC-0027001955-VXD Payment'</t>
  </si>
  <si>
    <t>Balance Payment of Mac Books</t>
  </si>
  <si>
    <t>'Fee:CEFT_SLIPS Vishwa Fund Tfr_21-08-2025'</t>
  </si>
  <si>
    <t>'SVC-0027109226-VXD Payment'</t>
  </si>
  <si>
    <t>Purchase SSD Hard drive</t>
  </si>
  <si>
    <t>'SVC-0027109229-VXD Payment'</t>
  </si>
  <si>
    <t>Purchase 02 Nos- Wireless Mouse</t>
  </si>
  <si>
    <t>'SVC-0027109186-VXD Payment'</t>
  </si>
  <si>
    <t>Tax Advisor</t>
  </si>
  <si>
    <t>Tax consulting chargers for -30 minutes session</t>
  </si>
  <si>
    <t>'SVC-0027109230-VXD Payment'</t>
  </si>
  <si>
    <t>Lochana Adithya</t>
  </si>
  <si>
    <t>service supply</t>
  </si>
  <si>
    <t>'VXD Reimbursement0027109233'</t>
  </si>
  <si>
    <t xml:space="preserve"> Traveling &amp; Food and beverages</t>
  </si>
  <si>
    <t>'VXD Payment0027109244'</t>
  </si>
  <si>
    <t>2nd Advance payment SAS Web Design</t>
  </si>
  <si>
    <t>Bank Balance as at  01 Aug 2025</t>
  </si>
  <si>
    <t>Bank balance as 31 Aug 2025</t>
  </si>
  <si>
    <t>Sam Outsource</t>
  </si>
  <si>
    <t xml:space="preserve">Mobile Bill - 24/5 -25/6  </t>
  </si>
  <si>
    <t xml:space="preserve">Tony Reimbursement  </t>
  </si>
  <si>
    <t>Mobile vision Bill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</si>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</sst>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 mmm\ 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rgb="FF000000"/>
      <name val="Aptos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left" vertical="center"/>
    </xf>
    <xf numFmtId="43" fontId="0" fillId="0" borderId="0" xfId="1" applyFont="1"/>
    <xf numFmtId="43" fontId="0" fillId="0" borderId="0" xfId="0" applyNumberFormat="1"/>
    <xf numFmtId="4" fontId="4" fillId="0" borderId="3" xfId="0" applyNumberFormat="1" applyFont="1" applyBorder="1"/>
    <xf numFmtId="43" fontId="0" fillId="2" borderId="0" xfId="1" applyFont="1" applyFill="1"/>
    <xf numFmtId="0" fontId="0" fillId="2" borderId="0" xfId="0" applyFill="1"/>
    <xf numFmtId="43" fontId="2" fillId="0" borderId="0" xfId="1" applyFont="1"/>
    <xf numFmtId="4" fontId="5" fillId="0" borderId="0" xfId="0" applyNumberFormat="1" applyFont="1"/>
    <xf numFmtId="0" fontId="0" fillId="0" borderId="5" xfId="0" applyBorder="1"/>
    <xf numFmtId="0" fontId="0" fillId="0" borderId="6" xfId="0" applyBorder="1"/>
    <xf numFmtId="43" fontId="2" fillId="0" borderId="6" xfId="1" applyFont="1" applyBorder="1"/>
    <xf numFmtId="43" fontId="2" fillId="0" borderId="7" xfId="1" applyFont="1" applyBorder="1"/>
    <xf numFmtId="0" fontId="0" fillId="0" borderId="4" xfId="0" applyBorder="1"/>
    <xf numFmtId="43" fontId="0" fillId="0" borderId="4" xfId="1" applyFont="1" applyBorder="1"/>
    <xf numFmtId="164" fontId="3" fillId="0" borderId="8" xfId="0" applyNumberFormat="1" applyFont="1" applyBorder="1" applyAlignment="1">
      <alignment horizontal="left" vertical="center"/>
    </xf>
    <xf numFmtId="0" fontId="0" fillId="0" borderId="9" xfId="0" applyBorder="1"/>
    <xf numFmtId="164" fontId="3" fillId="2" borderId="10" xfId="0" applyNumberFormat="1" applyFont="1" applyFill="1" applyBorder="1" applyAlignment="1">
      <alignment horizontal="left" vertical="center"/>
    </xf>
    <xf numFmtId="0" fontId="0" fillId="0" borderId="11" xfId="0" applyBorder="1"/>
    <xf numFmtId="43" fontId="0" fillId="0" borderId="11" xfId="1" applyFont="1" applyBorder="1"/>
    <xf numFmtId="43" fontId="0" fillId="0" borderId="12" xfId="1" applyFont="1" applyBorder="1"/>
    <xf numFmtId="0" fontId="2" fillId="3" borderId="13" xfId="0" applyFont="1" applyFill="1" applyBorder="1"/>
    <xf numFmtId="0" fontId="2" fillId="3" borderId="14" xfId="0" applyFont="1" applyFill="1" applyBorder="1"/>
    <xf numFmtId="43" fontId="2" fillId="3" borderId="14" xfId="1" applyFont="1" applyFill="1" applyBorder="1"/>
    <xf numFmtId="0" fontId="2" fillId="3" borderId="15" xfId="0" applyFont="1" applyFill="1" applyBorder="1"/>
    <xf numFmtId="4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/>
    <xf numFmtId="4" fontId="4" fillId="0" borderId="4" xfId="0" applyNumberFormat="1" applyFont="1" applyBorder="1"/>
    <xf numFmtId="0" fontId="2" fillId="3" borderId="16" xfId="0" applyFont="1" applyFill="1" applyBorder="1"/>
    <xf numFmtId="0" fontId="2" fillId="3" borderId="17" xfId="0" applyFont="1" applyFill="1" applyBorder="1"/>
    <xf numFmtId="43" fontId="2" fillId="3" borderId="17" xfId="1" applyFont="1" applyFill="1" applyBorder="1"/>
    <xf numFmtId="0" fontId="2" fillId="3" borderId="18" xfId="0" applyFont="1" applyFill="1" applyBorder="1"/>
    <xf numFmtId="0" fontId="0" fillId="0" borderId="4" xfId="0" applyBorder="1" applyAlignment="1">
      <alignment wrapText="1"/>
    </xf>
    <xf numFmtId="4" fontId="0" fillId="0" borderId="4" xfId="0" applyNumberFormat="1" applyBorder="1" applyAlignment="1">
      <alignment wrapText="1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4" fontId="4" fillId="0" borderId="4" xfId="1" applyNumberFormat="1" applyFont="1" applyBorder="1"/>
    <xf numFmtId="0" fontId="4" fillId="0" borderId="4" xfId="0" applyFont="1" applyBorder="1" applyAlignment="1">
      <alignment wrapText="1"/>
    </xf>
    <xf numFmtId="4" fontId="5" fillId="0" borderId="4" xfId="0" applyNumberFormat="1" applyFont="1" applyBorder="1"/>
    <xf numFmtId="43" fontId="2" fillId="0" borderId="4" xfId="1" applyFont="1" applyBorder="1"/>
    <xf numFmtId="14" fontId="0" fillId="0" borderId="8" xfId="0" applyNumberFormat="1" applyBorder="1" applyAlignment="1">
      <alignment wrapText="1"/>
    </xf>
    <xf numFmtId="4" fontId="0" fillId="0" borderId="9" xfId="0" applyNumberFormat="1" applyBorder="1" applyAlignment="1">
      <alignment wrapText="1"/>
    </xf>
    <xf numFmtId="0" fontId="0" fillId="0" borderId="19" xfId="0" applyBorder="1"/>
    <xf numFmtId="0" fontId="0" fillId="0" borderId="20" xfId="0" applyBorder="1"/>
    <xf numFmtId="4" fontId="2" fillId="0" borderId="20" xfId="0" applyNumberFormat="1" applyFont="1" applyBorder="1"/>
    <xf numFmtId="4" fontId="2" fillId="0" borderId="2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B103-61FA-4205-ADC4-17A1157D69CC}">
  <dimension ref="A1:F219"/>
  <sheetViews>
    <sheetView topLeftCell="A156" workbookViewId="0">
      <selection activeCell="F163" sqref="F163"/>
    </sheetView>
  </sheetViews>
  <sheetFormatPr defaultRowHeight="14.4" x14ac:dyDescent="0.3"/>
  <cols>
    <col min="1" max="1" width="14.5546875" customWidth="1"/>
    <col min="2" max="2" width="21.6640625" customWidth="1"/>
    <col min="3" max="3" width="34.77734375" customWidth="1"/>
    <col min="4" max="4" width="23.44140625" customWidth="1"/>
    <col min="5" max="5" width="13.109375" style="5" bestFit="1" customWidth="1"/>
    <col min="6" max="6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418</v>
      </c>
      <c r="E1" s="5" t="s">
        <v>3</v>
      </c>
    </row>
    <row r="2" spans="1:5" x14ac:dyDescent="0.3">
      <c r="A2" s="1">
        <v>45848</v>
      </c>
      <c r="B2" t="s">
        <v>4</v>
      </c>
      <c r="C2" t="s">
        <v>5</v>
      </c>
      <c r="D2" t="s">
        <v>6</v>
      </c>
      <c r="E2" s="5">
        <v>50000</v>
      </c>
    </row>
    <row r="3" spans="1:5" x14ac:dyDescent="0.3">
      <c r="A3" s="2">
        <v>45750</v>
      </c>
      <c r="B3" t="s">
        <v>7</v>
      </c>
      <c r="C3" t="s">
        <v>8</v>
      </c>
      <c r="D3" t="s">
        <v>9</v>
      </c>
      <c r="E3" s="5">
        <v>30</v>
      </c>
    </row>
    <row r="4" spans="1:5" x14ac:dyDescent="0.3">
      <c r="A4" s="3">
        <v>45760</v>
      </c>
      <c r="B4" t="s">
        <v>10</v>
      </c>
      <c r="C4" t="s">
        <v>11</v>
      </c>
      <c r="D4" t="s">
        <v>9</v>
      </c>
      <c r="E4" s="5">
        <v>60</v>
      </c>
    </row>
    <row r="5" spans="1:5" x14ac:dyDescent="0.3">
      <c r="A5" s="3">
        <v>45760</v>
      </c>
      <c r="B5" t="s">
        <v>10</v>
      </c>
      <c r="C5" t="s">
        <v>11</v>
      </c>
      <c r="D5" t="s">
        <v>9</v>
      </c>
      <c r="E5" s="5">
        <v>1100</v>
      </c>
    </row>
    <row r="6" spans="1:5" x14ac:dyDescent="0.3">
      <c r="A6" s="3">
        <v>45793</v>
      </c>
      <c r="B6" t="s">
        <v>12</v>
      </c>
      <c r="C6" t="s">
        <v>13</v>
      </c>
      <c r="D6" t="s">
        <v>9</v>
      </c>
      <c r="E6" s="5">
        <v>45</v>
      </c>
    </row>
    <row r="7" spans="1:5" x14ac:dyDescent="0.3">
      <c r="A7" s="3">
        <v>45793</v>
      </c>
      <c r="B7" t="s">
        <v>12</v>
      </c>
      <c r="C7" t="s">
        <v>13</v>
      </c>
      <c r="D7" t="s">
        <v>9</v>
      </c>
      <c r="E7" s="5">
        <v>1100</v>
      </c>
    </row>
    <row r="8" spans="1:5" x14ac:dyDescent="0.3">
      <c r="A8" s="3">
        <v>45800</v>
      </c>
      <c r="B8" t="s">
        <v>14</v>
      </c>
      <c r="C8" t="s">
        <v>15</v>
      </c>
      <c r="D8" t="s">
        <v>9</v>
      </c>
      <c r="E8" s="5">
        <v>15</v>
      </c>
    </row>
    <row r="9" spans="1:5" x14ac:dyDescent="0.3">
      <c r="A9" s="3">
        <v>45807</v>
      </c>
      <c r="B9" t="s">
        <v>16</v>
      </c>
      <c r="C9" t="s">
        <v>17</v>
      </c>
      <c r="D9" t="s">
        <v>9</v>
      </c>
      <c r="E9" s="5">
        <v>15</v>
      </c>
    </row>
    <row r="10" spans="1:5" x14ac:dyDescent="0.3">
      <c r="A10" s="3">
        <v>45821</v>
      </c>
      <c r="B10" t="s">
        <v>18</v>
      </c>
      <c r="C10" t="s">
        <v>19</v>
      </c>
      <c r="D10" t="s">
        <v>9</v>
      </c>
      <c r="E10" s="5">
        <v>30</v>
      </c>
    </row>
    <row r="11" spans="1:5" x14ac:dyDescent="0.3">
      <c r="A11" s="3">
        <v>45822</v>
      </c>
      <c r="B11" t="s">
        <v>20</v>
      </c>
      <c r="C11" t="s">
        <v>21</v>
      </c>
      <c r="D11" t="s">
        <v>9</v>
      </c>
      <c r="E11" s="5">
        <v>15</v>
      </c>
    </row>
    <row r="12" spans="1:5" x14ac:dyDescent="0.3">
      <c r="A12" s="3">
        <v>45822</v>
      </c>
      <c r="B12" t="s">
        <v>20</v>
      </c>
      <c r="C12" t="s">
        <v>21</v>
      </c>
      <c r="D12" t="s">
        <v>9</v>
      </c>
      <c r="E12" s="5">
        <v>1050</v>
      </c>
    </row>
    <row r="13" spans="1:5" x14ac:dyDescent="0.3">
      <c r="A13" s="3">
        <v>45822</v>
      </c>
      <c r="C13" t="s">
        <v>21</v>
      </c>
      <c r="D13" t="s">
        <v>9</v>
      </c>
      <c r="E13" s="5">
        <v>15</v>
      </c>
    </row>
    <row r="14" spans="1:5" x14ac:dyDescent="0.3">
      <c r="A14" s="3">
        <v>45829</v>
      </c>
      <c r="C14" t="s">
        <v>22</v>
      </c>
      <c r="D14" t="s">
        <v>9</v>
      </c>
      <c r="E14" s="5">
        <v>15</v>
      </c>
    </row>
    <row r="15" spans="1:5" x14ac:dyDescent="0.3">
      <c r="A15" s="3">
        <v>45835</v>
      </c>
      <c r="C15" t="s">
        <v>23</v>
      </c>
      <c r="D15" t="s">
        <v>9</v>
      </c>
      <c r="E15" s="5">
        <v>45</v>
      </c>
    </row>
    <row r="16" spans="1:5" x14ac:dyDescent="0.3">
      <c r="A16" s="3">
        <v>45843</v>
      </c>
      <c r="B16" t="s">
        <v>24</v>
      </c>
      <c r="C16" t="s">
        <v>25</v>
      </c>
      <c r="D16" t="s">
        <v>9</v>
      </c>
      <c r="E16" s="5">
        <v>15</v>
      </c>
    </row>
    <row r="17" spans="1:5" x14ac:dyDescent="0.3">
      <c r="A17" s="3">
        <v>45849</v>
      </c>
      <c r="B17" t="s">
        <v>24</v>
      </c>
      <c r="C17" t="s">
        <v>25</v>
      </c>
      <c r="D17" t="s">
        <v>9</v>
      </c>
      <c r="E17" s="5">
        <v>30</v>
      </c>
    </row>
    <row r="18" spans="1:5" x14ac:dyDescent="0.3">
      <c r="A18" s="3">
        <v>45854</v>
      </c>
      <c r="B18" t="s">
        <v>26</v>
      </c>
      <c r="C18" t="s">
        <v>25</v>
      </c>
      <c r="D18" t="s">
        <v>9</v>
      </c>
      <c r="E18" s="5">
        <v>1050</v>
      </c>
    </row>
    <row r="19" spans="1:5" x14ac:dyDescent="0.3">
      <c r="A19" s="3">
        <v>45854</v>
      </c>
      <c r="B19" t="s">
        <v>26</v>
      </c>
      <c r="C19" t="s">
        <v>25</v>
      </c>
      <c r="D19" t="s">
        <v>9</v>
      </c>
      <c r="E19" s="5">
        <v>15</v>
      </c>
    </row>
    <row r="20" spans="1:5" x14ac:dyDescent="0.3">
      <c r="A20" s="3">
        <v>45856</v>
      </c>
      <c r="B20" t="s">
        <v>27</v>
      </c>
      <c r="C20" t="s">
        <v>28</v>
      </c>
      <c r="D20" t="s">
        <v>9</v>
      </c>
      <c r="E20" s="5">
        <v>15</v>
      </c>
    </row>
    <row r="21" spans="1:5" x14ac:dyDescent="0.3">
      <c r="A21" s="3">
        <v>45787</v>
      </c>
      <c r="B21" t="s">
        <v>29</v>
      </c>
      <c r="C21" t="s">
        <v>30</v>
      </c>
      <c r="D21" t="s">
        <v>9</v>
      </c>
      <c r="E21" s="5">
        <v>15</v>
      </c>
    </row>
    <row r="22" spans="1:5" x14ac:dyDescent="0.3">
      <c r="A22" s="3">
        <v>45785</v>
      </c>
      <c r="B22" t="s">
        <v>31</v>
      </c>
      <c r="C22" t="s">
        <v>32</v>
      </c>
      <c r="D22" t="s">
        <v>33</v>
      </c>
      <c r="E22" s="5">
        <v>11025.08</v>
      </c>
    </row>
    <row r="23" spans="1:5" x14ac:dyDescent="0.3">
      <c r="A23" s="3">
        <v>45799</v>
      </c>
      <c r="B23" t="s">
        <v>34</v>
      </c>
      <c r="C23" t="s">
        <v>35</v>
      </c>
      <c r="D23" t="s">
        <v>33</v>
      </c>
      <c r="E23" s="5">
        <v>8025.06</v>
      </c>
    </row>
    <row r="24" spans="1:5" x14ac:dyDescent="0.3">
      <c r="A24" s="3">
        <v>45819</v>
      </c>
      <c r="B24" t="s">
        <v>36</v>
      </c>
      <c r="C24" t="s">
        <v>37</v>
      </c>
      <c r="D24" t="s">
        <v>38</v>
      </c>
      <c r="E24" s="5">
        <v>21775.13</v>
      </c>
    </row>
    <row r="25" spans="1:5" x14ac:dyDescent="0.3">
      <c r="A25" s="3">
        <v>45841</v>
      </c>
      <c r="B25" t="s">
        <v>39</v>
      </c>
      <c r="C25" t="s">
        <v>40</v>
      </c>
      <c r="D25" t="s">
        <v>41</v>
      </c>
      <c r="E25" s="5">
        <v>30025</v>
      </c>
    </row>
    <row r="26" spans="1:5" x14ac:dyDescent="0.3">
      <c r="A26" s="3">
        <v>45771</v>
      </c>
      <c r="B26" t="s">
        <v>42</v>
      </c>
      <c r="C26" t="s">
        <v>43</v>
      </c>
      <c r="D26" t="s">
        <v>44</v>
      </c>
      <c r="E26" s="5">
        <v>22175</v>
      </c>
    </row>
    <row r="27" spans="1:5" x14ac:dyDescent="0.3">
      <c r="A27" s="3">
        <v>45834</v>
      </c>
      <c r="B27" t="s">
        <v>45</v>
      </c>
      <c r="C27" t="s">
        <v>46</v>
      </c>
      <c r="D27" t="s">
        <v>47</v>
      </c>
      <c r="E27" s="5">
        <v>475</v>
      </c>
    </row>
    <row r="28" spans="1:5" x14ac:dyDescent="0.3">
      <c r="A28" s="3">
        <v>45842</v>
      </c>
      <c r="B28" t="s">
        <v>48</v>
      </c>
      <c r="C28" t="s">
        <v>49</v>
      </c>
      <c r="D28" t="s">
        <v>50</v>
      </c>
      <c r="E28" s="5">
        <v>3169.58</v>
      </c>
    </row>
    <row r="29" spans="1:5" x14ac:dyDescent="0.3">
      <c r="A29" s="3">
        <v>45835</v>
      </c>
      <c r="B29" t="s">
        <v>50</v>
      </c>
      <c r="C29" t="s">
        <v>51</v>
      </c>
      <c r="D29" t="s">
        <v>52</v>
      </c>
      <c r="E29" s="5">
        <v>1690.11</v>
      </c>
    </row>
    <row r="30" spans="1:5" x14ac:dyDescent="0.3">
      <c r="A30" s="3">
        <v>45869</v>
      </c>
      <c r="B30" t="s">
        <v>53</v>
      </c>
      <c r="C30" t="s">
        <v>54</v>
      </c>
      <c r="D30" t="s">
        <v>55</v>
      </c>
      <c r="E30" s="5">
        <v>95225</v>
      </c>
    </row>
    <row r="31" spans="1:5" x14ac:dyDescent="0.3">
      <c r="A31" s="3">
        <v>45786</v>
      </c>
      <c r="B31" t="s">
        <v>56</v>
      </c>
      <c r="C31" t="s">
        <v>57</v>
      </c>
      <c r="D31" t="s">
        <v>55</v>
      </c>
      <c r="E31" s="5">
        <v>171000</v>
      </c>
    </row>
    <row r="32" spans="1:5" x14ac:dyDescent="0.3">
      <c r="A32" s="3">
        <v>45820</v>
      </c>
      <c r="B32" t="s">
        <v>58</v>
      </c>
      <c r="C32" t="s">
        <v>59</v>
      </c>
      <c r="D32" t="s">
        <v>55</v>
      </c>
      <c r="E32" s="5">
        <v>182400</v>
      </c>
    </row>
    <row r="33" spans="1:5" x14ac:dyDescent="0.3">
      <c r="A33" s="4">
        <v>45757</v>
      </c>
      <c r="B33" t="s">
        <v>60</v>
      </c>
      <c r="C33" t="s">
        <v>61</v>
      </c>
      <c r="D33" t="s">
        <v>62</v>
      </c>
      <c r="E33" s="5">
        <v>1193771.3400000001</v>
      </c>
    </row>
    <row r="34" spans="1:5" x14ac:dyDescent="0.3">
      <c r="A34" s="4">
        <v>45777</v>
      </c>
      <c r="B34" t="s">
        <v>63</v>
      </c>
      <c r="C34" t="s">
        <v>64</v>
      </c>
      <c r="D34" t="s">
        <v>62</v>
      </c>
      <c r="E34" s="5">
        <v>592746.68999999994</v>
      </c>
    </row>
    <row r="35" spans="1:5" x14ac:dyDescent="0.3">
      <c r="A35" s="4">
        <v>45786</v>
      </c>
      <c r="B35" t="s">
        <v>65</v>
      </c>
      <c r="C35" t="s">
        <v>66</v>
      </c>
      <c r="D35" t="s">
        <v>62</v>
      </c>
      <c r="E35" s="5">
        <v>532369.5</v>
      </c>
    </row>
    <row r="36" spans="1:5" x14ac:dyDescent="0.3">
      <c r="A36" s="4">
        <v>45790</v>
      </c>
      <c r="B36" t="s">
        <v>67</v>
      </c>
      <c r="C36" t="s">
        <v>68</v>
      </c>
      <c r="D36" t="s">
        <v>62</v>
      </c>
      <c r="E36" s="5">
        <v>1141427.3500000001</v>
      </c>
    </row>
    <row r="37" spans="1:5" x14ac:dyDescent="0.3">
      <c r="A37" s="4">
        <v>45791</v>
      </c>
      <c r="B37" t="s">
        <v>69</v>
      </c>
      <c r="C37" t="s">
        <v>70</v>
      </c>
      <c r="D37" t="s">
        <v>62</v>
      </c>
      <c r="E37" s="5">
        <v>249726.47</v>
      </c>
    </row>
    <row r="38" spans="1:5" x14ac:dyDescent="0.3">
      <c r="A38" s="4">
        <v>45813</v>
      </c>
      <c r="B38" t="s">
        <v>71</v>
      </c>
      <c r="C38" t="s">
        <v>72</v>
      </c>
      <c r="D38" t="s">
        <v>62</v>
      </c>
      <c r="E38" s="5">
        <v>1931113.37</v>
      </c>
    </row>
    <row r="39" spans="1:5" x14ac:dyDescent="0.3">
      <c r="A39" s="4">
        <v>45819</v>
      </c>
      <c r="B39" t="s">
        <v>73</v>
      </c>
      <c r="C39" t="s">
        <v>74</v>
      </c>
      <c r="D39" t="s">
        <v>62</v>
      </c>
      <c r="E39" s="5">
        <v>550882.52</v>
      </c>
    </row>
    <row r="40" spans="1:5" x14ac:dyDescent="0.3">
      <c r="A40" s="4">
        <v>45833</v>
      </c>
      <c r="B40" t="s">
        <v>75</v>
      </c>
      <c r="C40" t="s">
        <v>76</v>
      </c>
      <c r="D40" t="s">
        <v>62</v>
      </c>
      <c r="E40" s="5">
        <v>193448.49</v>
      </c>
    </row>
    <row r="41" spans="1:5" x14ac:dyDescent="0.3">
      <c r="A41" s="4">
        <v>45834</v>
      </c>
      <c r="B41" t="s">
        <v>75</v>
      </c>
      <c r="C41" t="s">
        <v>77</v>
      </c>
      <c r="D41" t="s">
        <v>62</v>
      </c>
      <c r="E41" s="5">
        <v>1948335.04</v>
      </c>
    </row>
    <row r="42" spans="1:5" x14ac:dyDescent="0.3">
      <c r="A42" s="4">
        <v>45841</v>
      </c>
      <c r="B42" t="s">
        <v>78</v>
      </c>
      <c r="C42" t="s">
        <v>79</v>
      </c>
      <c r="D42" t="s">
        <v>62</v>
      </c>
      <c r="E42" s="5">
        <v>1962795</v>
      </c>
    </row>
    <row r="43" spans="1:5" x14ac:dyDescent="0.3">
      <c r="A43" s="3">
        <v>45749</v>
      </c>
      <c r="B43" t="s">
        <v>80</v>
      </c>
      <c r="C43" t="s">
        <v>81</v>
      </c>
      <c r="D43" t="s">
        <v>82</v>
      </c>
      <c r="E43" s="5">
        <v>67565</v>
      </c>
    </row>
    <row r="44" spans="1:5" x14ac:dyDescent="0.3">
      <c r="A44" s="3">
        <v>45771</v>
      </c>
      <c r="B44" t="s">
        <v>83</v>
      </c>
      <c r="C44" t="s">
        <v>84</v>
      </c>
      <c r="D44" t="s">
        <v>82</v>
      </c>
      <c r="E44" s="5">
        <v>6005</v>
      </c>
    </row>
    <row r="45" spans="1:5" x14ac:dyDescent="0.3">
      <c r="A45" s="3">
        <v>45819</v>
      </c>
      <c r="B45" t="s">
        <v>85</v>
      </c>
      <c r="C45" t="s">
        <v>86</v>
      </c>
      <c r="D45" t="s">
        <v>87</v>
      </c>
      <c r="E45" s="5">
        <v>129276</v>
      </c>
    </row>
    <row r="46" spans="1:5" x14ac:dyDescent="0.3">
      <c r="A46" s="3">
        <v>45792</v>
      </c>
      <c r="B46" t="s">
        <v>88</v>
      </c>
      <c r="C46" t="s">
        <v>89</v>
      </c>
      <c r="D46" t="s">
        <v>90</v>
      </c>
      <c r="E46" s="5">
        <v>90025</v>
      </c>
    </row>
    <row r="47" spans="1:5" x14ac:dyDescent="0.3">
      <c r="A47" s="3">
        <v>45792</v>
      </c>
      <c r="B47" t="s">
        <v>91</v>
      </c>
      <c r="C47" t="s">
        <v>92</v>
      </c>
      <c r="D47" t="s">
        <v>93</v>
      </c>
      <c r="E47" s="5">
        <v>100000</v>
      </c>
    </row>
    <row r="48" spans="1:5" x14ac:dyDescent="0.3">
      <c r="A48" s="3">
        <v>45828</v>
      </c>
      <c r="B48" t="s">
        <v>94</v>
      </c>
      <c r="C48" t="s">
        <v>95</v>
      </c>
      <c r="D48" t="s">
        <v>93</v>
      </c>
      <c r="E48" s="5">
        <v>15000</v>
      </c>
    </row>
    <row r="49" spans="1:5" x14ac:dyDescent="0.3">
      <c r="A49" s="3">
        <v>45785</v>
      </c>
      <c r="B49" t="s">
        <v>96</v>
      </c>
      <c r="C49" t="s">
        <v>97</v>
      </c>
      <c r="D49" t="s">
        <v>98</v>
      </c>
      <c r="E49" s="5">
        <v>7025</v>
      </c>
    </row>
    <row r="50" spans="1:5" x14ac:dyDescent="0.3">
      <c r="A50" s="3">
        <v>45799</v>
      </c>
      <c r="B50" t="s">
        <v>99</v>
      </c>
      <c r="C50" t="s">
        <v>100</v>
      </c>
      <c r="D50" t="s">
        <v>98</v>
      </c>
      <c r="E50" s="5">
        <v>5025</v>
      </c>
    </row>
    <row r="51" spans="1:5" x14ac:dyDescent="0.3">
      <c r="A51" s="3">
        <v>45828</v>
      </c>
      <c r="B51" t="s">
        <v>101</v>
      </c>
      <c r="C51" t="s">
        <v>102</v>
      </c>
      <c r="D51" t="s">
        <v>98</v>
      </c>
      <c r="E51" s="5">
        <v>2025</v>
      </c>
    </row>
    <row r="52" spans="1:5" x14ac:dyDescent="0.3">
      <c r="A52" s="3">
        <v>45816</v>
      </c>
      <c r="B52" t="s">
        <v>103</v>
      </c>
      <c r="C52" t="s">
        <v>104</v>
      </c>
      <c r="D52" t="s">
        <v>105</v>
      </c>
      <c r="E52" s="5">
        <v>259925</v>
      </c>
    </row>
    <row r="53" spans="1:5" x14ac:dyDescent="0.3">
      <c r="A53" s="3">
        <v>45855</v>
      </c>
      <c r="B53" t="s">
        <v>106</v>
      </c>
      <c r="C53" t="s">
        <v>107</v>
      </c>
      <c r="D53" t="s">
        <v>108</v>
      </c>
      <c r="E53" s="5">
        <v>1420000</v>
      </c>
    </row>
    <row r="54" spans="1:5" x14ac:dyDescent="0.3">
      <c r="A54" s="3">
        <v>45834</v>
      </c>
      <c r="B54" t="s">
        <v>109</v>
      </c>
      <c r="C54" t="s">
        <v>110</v>
      </c>
      <c r="D54" t="s">
        <v>111</v>
      </c>
      <c r="E54" s="5">
        <v>47525</v>
      </c>
    </row>
    <row r="55" spans="1:5" x14ac:dyDescent="0.3">
      <c r="A55" s="3">
        <v>45771</v>
      </c>
      <c r="B55" t="s">
        <v>112</v>
      </c>
      <c r="C55" t="s">
        <v>113</v>
      </c>
      <c r="D55" t="s">
        <v>114</v>
      </c>
      <c r="E55" s="5">
        <v>910.42</v>
      </c>
    </row>
    <row r="56" spans="1:5" x14ac:dyDescent="0.3">
      <c r="A56" s="3">
        <v>45855</v>
      </c>
      <c r="B56" t="s">
        <v>115</v>
      </c>
      <c r="C56" t="s">
        <v>116</v>
      </c>
      <c r="D56" t="s">
        <v>117</v>
      </c>
      <c r="E56" s="5">
        <v>50025</v>
      </c>
    </row>
    <row r="57" spans="1:5" x14ac:dyDescent="0.3">
      <c r="A57" s="3">
        <v>45855</v>
      </c>
      <c r="B57" t="s">
        <v>118</v>
      </c>
      <c r="C57" t="s">
        <v>119</v>
      </c>
      <c r="D57" t="s">
        <v>120</v>
      </c>
      <c r="E57" s="5">
        <v>130712.5</v>
      </c>
    </row>
    <row r="58" spans="1:5" x14ac:dyDescent="0.3">
      <c r="A58" s="3">
        <v>45855</v>
      </c>
      <c r="B58" t="s">
        <v>121</v>
      </c>
      <c r="C58" t="s">
        <v>122</v>
      </c>
      <c r="D58" t="s">
        <v>120</v>
      </c>
      <c r="E58" s="5">
        <v>7775</v>
      </c>
    </row>
    <row r="59" spans="1:5" x14ac:dyDescent="0.3">
      <c r="A59" s="3">
        <v>45855</v>
      </c>
      <c r="B59" t="s">
        <v>123</v>
      </c>
      <c r="C59" t="s">
        <v>124</v>
      </c>
      <c r="D59" t="s">
        <v>125</v>
      </c>
      <c r="E59" s="5">
        <v>145</v>
      </c>
    </row>
    <row r="60" spans="1:5" x14ac:dyDescent="0.3">
      <c r="A60" s="3">
        <v>45869</v>
      </c>
      <c r="B60" t="s">
        <v>126</v>
      </c>
      <c r="C60" t="s">
        <v>127</v>
      </c>
      <c r="D60" t="s">
        <v>128</v>
      </c>
      <c r="E60" s="5">
        <v>11985</v>
      </c>
    </row>
    <row r="61" spans="1:5" x14ac:dyDescent="0.3">
      <c r="A61" s="3">
        <v>45869</v>
      </c>
      <c r="B61" t="s">
        <v>129</v>
      </c>
      <c r="C61" t="s">
        <v>130</v>
      </c>
      <c r="D61" t="s">
        <v>128</v>
      </c>
      <c r="E61" s="5">
        <v>1681</v>
      </c>
    </row>
    <row r="62" spans="1:5" x14ac:dyDescent="0.3">
      <c r="A62" s="3">
        <v>45759</v>
      </c>
      <c r="B62" t="s">
        <v>131</v>
      </c>
      <c r="C62" t="s">
        <v>132</v>
      </c>
      <c r="D62" t="s">
        <v>133</v>
      </c>
      <c r="E62" s="5">
        <v>83995</v>
      </c>
    </row>
    <row r="63" spans="1:5" x14ac:dyDescent="0.3">
      <c r="A63" s="3">
        <v>45759</v>
      </c>
      <c r="B63" t="s">
        <v>134</v>
      </c>
      <c r="C63" t="s">
        <v>135</v>
      </c>
      <c r="D63" t="s">
        <v>133</v>
      </c>
      <c r="E63" s="5">
        <v>5000</v>
      </c>
    </row>
    <row r="64" spans="1:5" x14ac:dyDescent="0.3">
      <c r="A64" s="3">
        <v>45759</v>
      </c>
      <c r="B64" t="s">
        <v>136</v>
      </c>
      <c r="C64" t="s">
        <v>137</v>
      </c>
      <c r="D64" t="s">
        <v>133</v>
      </c>
      <c r="E64" s="5">
        <v>5000</v>
      </c>
    </row>
    <row r="65" spans="1:5" x14ac:dyDescent="0.3">
      <c r="A65" s="3">
        <v>45759</v>
      </c>
      <c r="B65" t="s">
        <v>138</v>
      </c>
      <c r="C65" t="s">
        <v>139</v>
      </c>
      <c r="D65" t="s">
        <v>133</v>
      </c>
      <c r="E65" s="5">
        <v>5000</v>
      </c>
    </row>
    <row r="66" spans="1:5" x14ac:dyDescent="0.3">
      <c r="A66" s="3">
        <v>45759</v>
      </c>
      <c r="B66" t="s">
        <v>140</v>
      </c>
      <c r="C66" t="s">
        <v>141</v>
      </c>
      <c r="D66" t="s">
        <v>133</v>
      </c>
      <c r="E66" s="5">
        <v>5000</v>
      </c>
    </row>
    <row r="67" spans="1:5" x14ac:dyDescent="0.3">
      <c r="A67" s="3">
        <v>45759</v>
      </c>
      <c r="B67" t="s">
        <v>142</v>
      </c>
      <c r="C67" t="s">
        <v>143</v>
      </c>
      <c r="D67" t="s">
        <v>133</v>
      </c>
      <c r="E67" s="5">
        <v>5000</v>
      </c>
    </row>
    <row r="68" spans="1:5" x14ac:dyDescent="0.3">
      <c r="A68" s="3">
        <v>45759</v>
      </c>
      <c r="B68" t="s">
        <v>144</v>
      </c>
      <c r="C68" t="s">
        <v>145</v>
      </c>
      <c r="D68" t="s">
        <v>133</v>
      </c>
      <c r="E68" s="5">
        <v>5000</v>
      </c>
    </row>
    <row r="69" spans="1:5" x14ac:dyDescent="0.3">
      <c r="A69" s="3">
        <v>45759</v>
      </c>
      <c r="B69" t="s">
        <v>146</v>
      </c>
      <c r="C69" t="s">
        <v>147</v>
      </c>
      <c r="D69" t="s">
        <v>133</v>
      </c>
      <c r="E69" s="5">
        <v>5000</v>
      </c>
    </row>
    <row r="70" spans="1:5" x14ac:dyDescent="0.3">
      <c r="A70" s="3">
        <v>45759</v>
      </c>
      <c r="B70" t="s">
        <v>148</v>
      </c>
      <c r="C70" t="s">
        <v>149</v>
      </c>
      <c r="D70" t="s">
        <v>133</v>
      </c>
      <c r="E70" s="5">
        <v>5000</v>
      </c>
    </row>
    <row r="71" spans="1:5" x14ac:dyDescent="0.3">
      <c r="A71" s="3">
        <v>45759</v>
      </c>
      <c r="B71" t="s">
        <v>150</v>
      </c>
      <c r="C71" t="s">
        <v>151</v>
      </c>
      <c r="D71" t="s">
        <v>133</v>
      </c>
      <c r="E71" s="5">
        <v>5000</v>
      </c>
    </row>
    <row r="72" spans="1:5" x14ac:dyDescent="0.3">
      <c r="A72" s="3">
        <v>45759</v>
      </c>
      <c r="B72" t="s">
        <v>152</v>
      </c>
      <c r="C72" t="s">
        <v>153</v>
      </c>
      <c r="D72" t="s">
        <v>133</v>
      </c>
      <c r="E72" s="5">
        <v>5000</v>
      </c>
    </row>
    <row r="73" spans="1:5" x14ac:dyDescent="0.3">
      <c r="A73" s="3">
        <v>45759</v>
      </c>
      <c r="B73" t="s">
        <v>154</v>
      </c>
      <c r="C73" t="s">
        <v>155</v>
      </c>
      <c r="D73" t="s">
        <v>133</v>
      </c>
      <c r="E73" s="5">
        <v>5000</v>
      </c>
    </row>
    <row r="74" spans="1:5" x14ac:dyDescent="0.3">
      <c r="A74" s="3">
        <v>45759</v>
      </c>
      <c r="B74" t="s">
        <v>156</v>
      </c>
      <c r="C74" t="s">
        <v>157</v>
      </c>
      <c r="D74" t="s">
        <v>133</v>
      </c>
      <c r="E74" s="5">
        <v>5000</v>
      </c>
    </row>
    <row r="75" spans="1:5" x14ac:dyDescent="0.3">
      <c r="A75" s="3">
        <v>45759</v>
      </c>
      <c r="B75" t="s">
        <v>158</v>
      </c>
      <c r="C75" t="s">
        <v>159</v>
      </c>
      <c r="D75" t="s">
        <v>133</v>
      </c>
      <c r="E75" s="5">
        <v>5000</v>
      </c>
    </row>
    <row r="76" spans="1:5" x14ac:dyDescent="0.3">
      <c r="A76" s="3">
        <v>45759</v>
      </c>
      <c r="B76" t="s">
        <v>160</v>
      </c>
      <c r="C76" t="s">
        <v>161</v>
      </c>
      <c r="D76" t="s">
        <v>133</v>
      </c>
      <c r="E76" s="5">
        <v>5000</v>
      </c>
    </row>
    <row r="77" spans="1:5" x14ac:dyDescent="0.3">
      <c r="A77" s="3">
        <v>45759</v>
      </c>
      <c r="B77" t="s">
        <v>162</v>
      </c>
      <c r="C77" t="s">
        <v>163</v>
      </c>
      <c r="D77" t="s">
        <v>133</v>
      </c>
      <c r="E77" s="5">
        <v>96875</v>
      </c>
    </row>
    <row r="78" spans="1:5" x14ac:dyDescent="0.3">
      <c r="A78" s="3">
        <v>45759</v>
      </c>
      <c r="B78" t="s">
        <v>164</v>
      </c>
      <c r="C78" t="s">
        <v>165</v>
      </c>
      <c r="D78" t="s">
        <v>133</v>
      </c>
      <c r="E78" s="5">
        <v>77995</v>
      </c>
    </row>
    <row r="79" spans="1:5" x14ac:dyDescent="0.3">
      <c r="A79" s="3">
        <v>45759</v>
      </c>
      <c r="B79" t="s">
        <v>166</v>
      </c>
      <c r="C79" t="s">
        <v>167</v>
      </c>
      <c r="D79" t="s">
        <v>133</v>
      </c>
      <c r="E79" s="5">
        <v>77995</v>
      </c>
    </row>
    <row r="80" spans="1:5" x14ac:dyDescent="0.3">
      <c r="A80" s="3">
        <v>45759</v>
      </c>
      <c r="B80" t="s">
        <v>168</v>
      </c>
      <c r="C80" t="s">
        <v>169</v>
      </c>
      <c r="D80" t="s">
        <v>133</v>
      </c>
      <c r="E80" s="5">
        <v>115755</v>
      </c>
    </row>
    <row r="81" spans="1:5" x14ac:dyDescent="0.3">
      <c r="A81" s="3">
        <v>45759</v>
      </c>
      <c r="B81" t="s">
        <v>170</v>
      </c>
      <c r="C81" t="s">
        <v>171</v>
      </c>
      <c r="D81" t="s">
        <v>133</v>
      </c>
      <c r="E81" s="5">
        <v>25475</v>
      </c>
    </row>
    <row r="82" spans="1:5" x14ac:dyDescent="0.3">
      <c r="A82" s="3">
        <v>45759</v>
      </c>
      <c r="B82" t="s">
        <v>172</v>
      </c>
      <c r="C82" t="s">
        <v>173</v>
      </c>
      <c r="D82" t="s">
        <v>133</v>
      </c>
      <c r="E82" s="5">
        <v>50075</v>
      </c>
    </row>
    <row r="83" spans="1:5" x14ac:dyDescent="0.3">
      <c r="A83" s="3">
        <v>45759</v>
      </c>
      <c r="B83" t="s">
        <v>174</v>
      </c>
      <c r="C83" t="s">
        <v>175</v>
      </c>
      <c r="D83" t="s">
        <v>133</v>
      </c>
      <c r="E83" s="5">
        <v>97675</v>
      </c>
    </row>
    <row r="84" spans="1:5" x14ac:dyDescent="0.3">
      <c r="A84" s="3">
        <v>45759</v>
      </c>
      <c r="B84" t="s">
        <v>176</v>
      </c>
      <c r="C84" t="s">
        <v>177</v>
      </c>
      <c r="D84" t="s">
        <v>133</v>
      </c>
      <c r="E84" s="5">
        <v>110000</v>
      </c>
    </row>
    <row r="85" spans="1:5" x14ac:dyDescent="0.3">
      <c r="A85" s="3">
        <v>45759</v>
      </c>
      <c r="B85" t="s">
        <v>178</v>
      </c>
      <c r="C85" t="s">
        <v>179</v>
      </c>
      <c r="D85" t="s">
        <v>133</v>
      </c>
      <c r="E85" s="5">
        <v>277525</v>
      </c>
    </row>
    <row r="86" spans="1:5" x14ac:dyDescent="0.3">
      <c r="A86" s="3">
        <v>45759</v>
      </c>
      <c r="B86" t="s">
        <v>180</v>
      </c>
      <c r="C86" t="s">
        <v>181</v>
      </c>
      <c r="D86" t="s">
        <v>133</v>
      </c>
      <c r="E86" s="5">
        <v>202525</v>
      </c>
    </row>
    <row r="87" spans="1:5" x14ac:dyDescent="0.3">
      <c r="A87" s="3">
        <v>45759</v>
      </c>
      <c r="B87" t="s">
        <v>182</v>
      </c>
      <c r="C87" t="s">
        <v>183</v>
      </c>
      <c r="D87" t="s">
        <v>133</v>
      </c>
      <c r="E87" s="5">
        <v>202525</v>
      </c>
    </row>
    <row r="88" spans="1:5" x14ac:dyDescent="0.3">
      <c r="A88" s="3">
        <v>45792</v>
      </c>
      <c r="B88" t="s">
        <v>184</v>
      </c>
      <c r="C88" t="s">
        <v>185</v>
      </c>
      <c r="D88" t="s">
        <v>133</v>
      </c>
      <c r="E88" s="5">
        <v>98425</v>
      </c>
    </row>
    <row r="89" spans="1:5" x14ac:dyDescent="0.3">
      <c r="A89" s="3">
        <v>45792</v>
      </c>
      <c r="B89" t="s">
        <v>186</v>
      </c>
      <c r="C89" t="s">
        <v>187</v>
      </c>
      <c r="D89" t="s">
        <v>133</v>
      </c>
      <c r="E89" s="5">
        <v>5000</v>
      </c>
    </row>
    <row r="90" spans="1:5" x14ac:dyDescent="0.3">
      <c r="A90" s="3">
        <v>45792</v>
      </c>
      <c r="B90" t="s">
        <v>188</v>
      </c>
      <c r="C90" t="s">
        <v>189</v>
      </c>
      <c r="D90" t="s">
        <v>133</v>
      </c>
      <c r="E90" s="5">
        <v>5000</v>
      </c>
    </row>
    <row r="91" spans="1:5" x14ac:dyDescent="0.3">
      <c r="A91" s="3">
        <v>45792</v>
      </c>
      <c r="B91" t="s">
        <v>190</v>
      </c>
      <c r="C91" t="s">
        <v>191</v>
      </c>
      <c r="D91" t="s">
        <v>133</v>
      </c>
      <c r="E91" s="5">
        <v>5000</v>
      </c>
    </row>
    <row r="92" spans="1:5" x14ac:dyDescent="0.3">
      <c r="A92" s="3">
        <v>45792</v>
      </c>
      <c r="B92" t="s">
        <v>192</v>
      </c>
      <c r="C92" t="s">
        <v>193</v>
      </c>
      <c r="D92" t="s">
        <v>133</v>
      </c>
      <c r="E92" s="5">
        <v>5000</v>
      </c>
    </row>
    <row r="93" spans="1:5" x14ac:dyDescent="0.3">
      <c r="A93" s="3">
        <v>45792</v>
      </c>
      <c r="B93" t="s">
        <v>194</v>
      </c>
      <c r="C93" t="s">
        <v>195</v>
      </c>
      <c r="D93" t="s">
        <v>133</v>
      </c>
      <c r="E93" s="5">
        <v>5000</v>
      </c>
    </row>
    <row r="94" spans="1:5" x14ac:dyDescent="0.3">
      <c r="A94" s="3">
        <v>45792</v>
      </c>
      <c r="B94" t="s">
        <v>196</v>
      </c>
      <c r="C94" t="s">
        <v>197</v>
      </c>
      <c r="D94" t="s">
        <v>133</v>
      </c>
      <c r="E94" s="5">
        <v>5000</v>
      </c>
    </row>
    <row r="95" spans="1:5" x14ac:dyDescent="0.3">
      <c r="A95" s="3">
        <v>45792</v>
      </c>
      <c r="B95" t="s">
        <v>198</v>
      </c>
      <c r="C95" t="s">
        <v>199</v>
      </c>
      <c r="D95" t="s">
        <v>133</v>
      </c>
      <c r="E95" s="5">
        <v>5000</v>
      </c>
    </row>
    <row r="96" spans="1:5" x14ac:dyDescent="0.3">
      <c r="A96" s="3">
        <v>45792</v>
      </c>
      <c r="B96" t="s">
        <v>200</v>
      </c>
      <c r="C96" t="s">
        <v>201</v>
      </c>
      <c r="D96" t="s">
        <v>133</v>
      </c>
      <c r="E96" s="5">
        <v>5000</v>
      </c>
    </row>
    <row r="97" spans="1:5" x14ac:dyDescent="0.3">
      <c r="A97" s="3">
        <v>45792</v>
      </c>
      <c r="B97" t="s">
        <v>202</v>
      </c>
      <c r="C97" t="s">
        <v>203</v>
      </c>
      <c r="D97" t="s">
        <v>133</v>
      </c>
      <c r="E97" s="5">
        <v>5000</v>
      </c>
    </row>
    <row r="98" spans="1:5" x14ac:dyDescent="0.3">
      <c r="A98" s="3">
        <v>45792</v>
      </c>
      <c r="B98" t="s">
        <v>204</v>
      </c>
      <c r="C98" t="s">
        <v>205</v>
      </c>
      <c r="D98" t="s">
        <v>133</v>
      </c>
      <c r="E98" s="5">
        <v>5000</v>
      </c>
    </row>
    <row r="99" spans="1:5" x14ac:dyDescent="0.3">
      <c r="A99" s="3">
        <v>45792</v>
      </c>
      <c r="B99" t="s">
        <v>206</v>
      </c>
      <c r="C99" t="s">
        <v>207</v>
      </c>
      <c r="D99" t="s">
        <v>133</v>
      </c>
      <c r="E99" s="5">
        <v>5000</v>
      </c>
    </row>
    <row r="100" spans="1:5" x14ac:dyDescent="0.3">
      <c r="A100" s="3">
        <v>45792</v>
      </c>
      <c r="B100" t="s">
        <v>208</v>
      </c>
      <c r="C100" t="s">
        <v>209</v>
      </c>
      <c r="D100" t="s">
        <v>133</v>
      </c>
      <c r="E100" s="5">
        <v>5000</v>
      </c>
    </row>
    <row r="101" spans="1:5" x14ac:dyDescent="0.3">
      <c r="A101" s="3">
        <v>45792</v>
      </c>
      <c r="B101" t="s">
        <v>210</v>
      </c>
      <c r="C101" t="s">
        <v>211</v>
      </c>
      <c r="D101" t="s">
        <v>133</v>
      </c>
      <c r="E101" s="5">
        <v>5000</v>
      </c>
    </row>
    <row r="102" spans="1:5" x14ac:dyDescent="0.3">
      <c r="A102" s="3">
        <v>45792</v>
      </c>
      <c r="B102" t="s">
        <v>212</v>
      </c>
      <c r="C102" t="s">
        <v>213</v>
      </c>
      <c r="D102" t="s">
        <v>133</v>
      </c>
      <c r="E102" s="5">
        <v>5000</v>
      </c>
    </row>
    <row r="103" spans="1:5" x14ac:dyDescent="0.3">
      <c r="A103" s="3">
        <v>45792</v>
      </c>
      <c r="B103" t="s">
        <v>214</v>
      </c>
      <c r="C103" t="s">
        <v>215</v>
      </c>
      <c r="D103" t="s">
        <v>133</v>
      </c>
      <c r="E103" s="5">
        <v>96875</v>
      </c>
    </row>
    <row r="104" spans="1:5" x14ac:dyDescent="0.3">
      <c r="A104" s="3">
        <v>45792</v>
      </c>
      <c r="B104" t="s">
        <v>216</v>
      </c>
      <c r="C104" t="s">
        <v>217</v>
      </c>
      <c r="D104" t="s">
        <v>133</v>
      </c>
      <c r="E104" s="5">
        <v>77995</v>
      </c>
    </row>
    <row r="105" spans="1:5" x14ac:dyDescent="0.3">
      <c r="A105" s="3">
        <v>45792</v>
      </c>
      <c r="B105" t="s">
        <v>218</v>
      </c>
      <c r="C105" t="s">
        <v>219</v>
      </c>
      <c r="D105" t="s">
        <v>133</v>
      </c>
      <c r="E105" s="5">
        <v>77995</v>
      </c>
    </row>
    <row r="106" spans="1:5" x14ac:dyDescent="0.3">
      <c r="A106" s="3">
        <v>45792</v>
      </c>
      <c r="B106" t="s">
        <v>220</v>
      </c>
      <c r="C106" t="s">
        <v>221</v>
      </c>
      <c r="D106" t="s">
        <v>133</v>
      </c>
      <c r="E106" s="5">
        <v>115755</v>
      </c>
    </row>
    <row r="107" spans="1:5" x14ac:dyDescent="0.3">
      <c r="A107" s="3">
        <v>45792</v>
      </c>
      <c r="B107" t="s">
        <v>222</v>
      </c>
      <c r="C107" t="s">
        <v>223</v>
      </c>
      <c r="D107" t="s">
        <v>133</v>
      </c>
      <c r="E107" s="5">
        <v>29155</v>
      </c>
    </row>
    <row r="108" spans="1:5" x14ac:dyDescent="0.3">
      <c r="A108" s="3">
        <v>45792</v>
      </c>
      <c r="B108" t="s">
        <v>224</v>
      </c>
      <c r="C108" t="s">
        <v>225</v>
      </c>
      <c r="D108" t="s">
        <v>133</v>
      </c>
      <c r="E108" s="5">
        <v>78475</v>
      </c>
    </row>
    <row r="109" spans="1:5" x14ac:dyDescent="0.3">
      <c r="A109" s="3">
        <v>45792</v>
      </c>
      <c r="B109" t="s">
        <v>226</v>
      </c>
      <c r="C109" t="s">
        <v>227</v>
      </c>
      <c r="D109" t="s">
        <v>133</v>
      </c>
      <c r="E109" s="5">
        <v>97675</v>
      </c>
    </row>
    <row r="110" spans="1:5" x14ac:dyDescent="0.3">
      <c r="A110" s="3">
        <v>45792</v>
      </c>
      <c r="B110" t="s">
        <v>228</v>
      </c>
      <c r="C110" t="s">
        <v>229</v>
      </c>
      <c r="D110" t="s">
        <v>133</v>
      </c>
      <c r="E110" s="5">
        <v>120000</v>
      </c>
    </row>
    <row r="111" spans="1:5" x14ac:dyDescent="0.3">
      <c r="A111" s="3">
        <v>45792</v>
      </c>
      <c r="B111" t="s">
        <v>230</v>
      </c>
      <c r="C111" t="s">
        <v>231</v>
      </c>
      <c r="D111" t="s">
        <v>133</v>
      </c>
      <c r="E111" s="5">
        <v>277525</v>
      </c>
    </row>
    <row r="112" spans="1:5" x14ac:dyDescent="0.3">
      <c r="A112" s="3">
        <v>45792</v>
      </c>
      <c r="B112" t="s">
        <v>232</v>
      </c>
      <c r="C112" t="s">
        <v>233</v>
      </c>
      <c r="D112" t="s">
        <v>133</v>
      </c>
      <c r="E112" s="5">
        <v>202525</v>
      </c>
    </row>
    <row r="113" spans="1:5" x14ac:dyDescent="0.3">
      <c r="A113" s="3">
        <v>45792</v>
      </c>
      <c r="B113" t="s">
        <v>234</v>
      </c>
      <c r="C113" t="s">
        <v>235</v>
      </c>
      <c r="D113" t="s">
        <v>133</v>
      </c>
      <c r="E113" s="5">
        <v>202525</v>
      </c>
    </row>
    <row r="114" spans="1:5" x14ac:dyDescent="0.3">
      <c r="A114" s="3">
        <v>45821</v>
      </c>
      <c r="B114" t="s">
        <v>236</v>
      </c>
      <c r="C114" t="s">
        <v>237</v>
      </c>
      <c r="D114" t="s">
        <v>133</v>
      </c>
      <c r="E114" s="5">
        <v>100383</v>
      </c>
    </row>
    <row r="115" spans="1:5" x14ac:dyDescent="0.3">
      <c r="A115" s="3">
        <v>45821</v>
      </c>
      <c r="B115" t="s">
        <v>238</v>
      </c>
      <c r="C115" t="s">
        <v>239</v>
      </c>
      <c r="D115" t="s">
        <v>133</v>
      </c>
      <c r="E115" s="5">
        <v>5000</v>
      </c>
    </row>
    <row r="116" spans="1:5" x14ac:dyDescent="0.3">
      <c r="A116" s="3">
        <v>45821</v>
      </c>
      <c r="B116" t="s">
        <v>240</v>
      </c>
      <c r="C116" t="s">
        <v>241</v>
      </c>
      <c r="D116" t="s">
        <v>133</v>
      </c>
      <c r="E116" s="5">
        <v>5000</v>
      </c>
    </row>
    <row r="117" spans="1:5" x14ac:dyDescent="0.3">
      <c r="A117" s="3">
        <v>45821</v>
      </c>
      <c r="B117" t="s">
        <v>242</v>
      </c>
      <c r="C117" t="s">
        <v>243</v>
      </c>
      <c r="D117" t="s">
        <v>133</v>
      </c>
      <c r="E117" s="5">
        <v>5000</v>
      </c>
    </row>
    <row r="118" spans="1:5" x14ac:dyDescent="0.3">
      <c r="A118" s="3">
        <v>45821</v>
      </c>
      <c r="B118" t="s">
        <v>244</v>
      </c>
      <c r="C118" t="s">
        <v>245</v>
      </c>
      <c r="D118" t="s">
        <v>133</v>
      </c>
      <c r="E118" s="5">
        <v>5000</v>
      </c>
    </row>
    <row r="119" spans="1:5" x14ac:dyDescent="0.3">
      <c r="A119" s="3">
        <v>45821</v>
      </c>
      <c r="B119" t="s">
        <v>246</v>
      </c>
      <c r="C119" t="s">
        <v>247</v>
      </c>
      <c r="D119" t="s">
        <v>133</v>
      </c>
      <c r="E119" s="5">
        <v>5000</v>
      </c>
    </row>
    <row r="120" spans="1:5" x14ac:dyDescent="0.3">
      <c r="A120" s="3">
        <v>45821</v>
      </c>
      <c r="B120" t="s">
        <v>248</v>
      </c>
      <c r="C120" t="s">
        <v>249</v>
      </c>
      <c r="D120" t="s">
        <v>133</v>
      </c>
      <c r="E120" s="5">
        <v>5000</v>
      </c>
    </row>
    <row r="121" spans="1:5" x14ac:dyDescent="0.3">
      <c r="A121" s="3">
        <v>45821</v>
      </c>
      <c r="B121" t="s">
        <v>250</v>
      </c>
      <c r="C121" t="s">
        <v>251</v>
      </c>
      <c r="D121" t="s">
        <v>133</v>
      </c>
      <c r="E121" s="5">
        <v>5000</v>
      </c>
    </row>
    <row r="122" spans="1:5" x14ac:dyDescent="0.3">
      <c r="A122" s="3">
        <v>45821</v>
      </c>
      <c r="B122" t="s">
        <v>252</v>
      </c>
      <c r="C122" t="s">
        <v>253</v>
      </c>
      <c r="D122" t="s">
        <v>133</v>
      </c>
      <c r="E122" s="5">
        <v>5000</v>
      </c>
    </row>
    <row r="123" spans="1:5" x14ac:dyDescent="0.3">
      <c r="A123" s="3">
        <v>45821</v>
      </c>
      <c r="B123" t="s">
        <v>254</v>
      </c>
      <c r="C123" t="s">
        <v>255</v>
      </c>
      <c r="D123" t="s">
        <v>133</v>
      </c>
      <c r="E123" s="5">
        <v>5000</v>
      </c>
    </row>
    <row r="124" spans="1:5" x14ac:dyDescent="0.3">
      <c r="A124" s="3">
        <v>45821</v>
      </c>
      <c r="B124" t="s">
        <v>256</v>
      </c>
      <c r="C124" t="s">
        <v>257</v>
      </c>
      <c r="D124" t="s">
        <v>133</v>
      </c>
      <c r="E124" s="5">
        <v>5000</v>
      </c>
    </row>
    <row r="125" spans="1:5" x14ac:dyDescent="0.3">
      <c r="A125" s="3">
        <v>45821</v>
      </c>
      <c r="B125" t="s">
        <v>258</v>
      </c>
      <c r="C125" t="s">
        <v>259</v>
      </c>
      <c r="D125" t="s">
        <v>133</v>
      </c>
      <c r="E125" s="5">
        <v>5000</v>
      </c>
    </row>
    <row r="126" spans="1:5" x14ac:dyDescent="0.3">
      <c r="A126" s="3">
        <v>45821</v>
      </c>
      <c r="B126" t="s">
        <v>260</v>
      </c>
      <c r="C126" t="s">
        <v>261</v>
      </c>
      <c r="D126" t="s">
        <v>133</v>
      </c>
      <c r="E126" s="5">
        <v>5000</v>
      </c>
    </row>
    <row r="127" spans="1:5" x14ac:dyDescent="0.3">
      <c r="A127" s="3">
        <v>45821</v>
      </c>
      <c r="B127" t="s">
        <v>262</v>
      </c>
      <c r="C127" t="s">
        <v>263</v>
      </c>
      <c r="D127" t="s">
        <v>133</v>
      </c>
      <c r="E127" s="5">
        <v>5000</v>
      </c>
    </row>
    <row r="128" spans="1:5" x14ac:dyDescent="0.3">
      <c r="A128" s="3">
        <v>45821</v>
      </c>
      <c r="B128" t="s">
        <v>264</v>
      </c>
      <c r="C128" t="s">
        <v>265</v>
      </c>
      <c r="D128" t="s">
        <v>133</v>
      </c>
      <c r="E128" s="5">
        <v>96875</v>
      </c>
    </row>
    <row r="129" spans="1:5" x14ac:dyDescent="0.3">
      <c r="A129" s="3">
        <v>45821</v>
      </c>
      <c r="B129" t="s">
        <v>266</v>
      </c>
      <c r="C129" t="s">
        <v>267</v>
      </c>
      <c r="D129" t="s">
        <v>133</v>
      </c>
      <c r="E129" s="5">
        <v>77995</v>
      </c>
    </row>
    <row r="130" spans="1:5" x14ac:dyDescent="0.3">
      <c r="A130" s="3">
        <v>45821</v>
      </c>
      <c r="B130" t="s">
        <v>268</v>
      </c>
      <c r="C130" t="s">
        <v>269</v>
      </c>
      <c r="D130" t="s">
        <v>133</v>
      </c>
      <c r="E130" s="5">
        <v>77995</v>
      </c>
    </row>
    <row r="131" spans="1:5" x14ac:dyDescent="0.3">
      <c r="A131" s="3">
        <v>45821</v>
      </c>
      <c r="B131" t="s">
        <v>270</v>
      </c>
      <c r="C131" t="s">
        <v>271</v>
      </c>
      <c r="D131" t="s">
        <v>133</v>
      </c>
      <c r="E131" s="5">
        <v>115755</v>
      </c>
    </row>
    <row r="132" spans="1:5" x14ac:dyDescent="0.3">
      <c r="A132" s="3">
        <v>45821</v>
      </c>
      <c r="B132" t="s">
        <v>272</v>
      </c>
      <c r="C132" t="s">
        <v>273</v>
      </c>
      <c r="D132" t="s">
        <v>133</v>
      </c>
      <c r="E132" s="5">
        <v>30075</v>
      </c>
    </row>
    <row r="133" spans="1:5" x14ac:dyDescent="0.3">
      <c r="A133" s="3">
        <v>45821</v>
      </c>
      <c r="B133" t="s">
        <v>274</v>
      </c>
      <c r="C133" t="s">
        <v>275</v>
      </c>
      <c r="D133" t="s">
        <v>133</v>
      </c>
      <c r="E133" s="5">
        <v>78475</v>
      </c>
    </row>
    <row r="134" spans="1:5" x14ac:dyDescent="0.3">
      <c r="A134" s="3">
        <v>45821</v>
      </c>
      <c r="B134" t="s">
        <v>276</v>
      </c>
      <c r="C134" t="s">
        <v>277</v>
      </c>
      <c r="D134" t="s">
        <v>133</v>
      </c>
      <c r="E134" s="5">
        <v>97675</v>
      </c>
    </row>
    <row r="135" spans="1:5" x14ac:dyDescent="0.3">
      <c r="A135" s="3">
        <v>45821</v>
      </c>
      <c r="B135" t="s">
        <v>278</v>
      </c>
      <c r="C135" t="s">
        <v>279</v>
      </c>
      <c r="D135" t="s">
        <v>133</v>
      </c>
      <c r="E135" s="5">
        <v>120000</v>
      </c>
    </row>
    <row r="136" spans="1:5" x14ac:dyDescent="0.3">
      <c r="A136" s="3">
        <v>45821</v>
      </c>
      <c r="B136" t="s">
        <v>280</v>
      </c>
      <c r="C136" t="s">
        <v>281</v>
      </c>
      <c r="D136" t="s">
        <v>133</v>
      </c>
      <c r="E136" s="5">
        <v>277525</v>
      </c>
    </row>
    <row r="137" spans="1:5" x14ac:dyDescent="0.3">
      <c r="A137" s="3">
        <v>45821</v>
      </c>
      <c r="B137" t="s">
        <v>282</v>
      </c>
      <c r="C137" t="s">
        <v>283</v>
      </c>
      <c r="D137" t="s">
        <v>133</v>
      </c>
      <c r="E137" s="5">
        <v>202525</v>
      </c>
    </row>
    <row r="138" spans="1:5" x14ac:dyDescent="0.3">
      <c r="A138" s="3">
        <v>45821</v>
      </c>
      <c r="B138" t="s">
        <v>284</v>
      </c>
      <c r="C138" t="s">
        <v>285</v>
      </c>
      <c r="D138" t="s">
        <v>133</v>
      </c>
      <c r="E138" s="5">
        <v>202525</v>
      </c>
    </row>
    <row r="139" spans="1:5" x14ac:dyDescent="0.3">
      <c r="A139" s="4">
        <v>45853</v>
      </c>
      <c r="B139" s="9" t="s">
        <v>286</v>
      </c>
      <c r="C139" s="9" t="s">
        <v>287</v>
      </c>
      <c r="D139" s="9" t="s">
        <v>133</v>
      </c>
      <c r="E139" s="8">
        <v>101039</v>
      </c>
    </row>
    <row r="140" spans="1:5" x14ac:dyDescent="0.3">
      <c r="A140" s="4">
        <v>45853</v>
      </c>
      <c r="B140" s="9" t="s">
        <v>288</v>
      </c>
      <c r="C140" s="9" t="s">
        <v>289</v>
      </c>
      <c r="D140" s="9" t="s">
        <v>133</v>
      </c>
      <c r="E140" s="8">
        <v>25000</v>
      </c>
    </row>
    <row r="141" spans="1:5" x14ac:dyDescent="0.3">
      <c r="A141" s="4">
        <v>45853</v>
      </c>
      <c r="B141" s="9" t="s">
        <v>290</v>
      </c>
      <c r="C141" s="9" t="s">
        <v>291</v>
      </c>
      <c r="D141" s="9" t="s">
        <v>133</v>
      </c>
      <c r="E141" s="8">
        <v>20000</v>
      </c>
    </row>
    <row r="142" spans="1:5" x14ac:dyDescent="0.3">
      <c r="A142" s="4">
        <v>45853</v>
      </c>
      <c r="B142" s="9" t="s">
        <v>292</v>
      </c>
      <c r="C142" s="9" t="s">
        <v>293</v>
      </c>
      <c r="D142" s="9" t="s">
        <v>133</v>
      </c>
      <c r="E142" s="8">
        <v>5000</v>
      </c>
    </row>
    <row r="143" spans="1:5" x14ac:dyDescent="0.3">
      <c r="A143" s="4">
        <v>45853</v>
      </c>
      <c r="B143" s="9" t="s">
        <v>294</v>
      </c>
      <c r="C143" s="9" t="s">
        <v>293</v>
      </c>
      <c r="D143" s="9" t="s">
        <v>133</v>
      </c>
      <c r="E143" s="8">
        <v>25000</v>
      </c>
    </row>
    <row r="144" spans="1:5" x14ac:dyDescent="0.3">
      <c r="A144" s="4">
        <v>45853</v>
      </c>
      <c r="B144" s="9" t="s">
        <v>295</v>
      </c>
      <c r="C144" s="9" t="s">
        <v>293</v>
      </c>
      <c r="D144" s="9" t="s">
        <v>133</v>
      </c>
      <c r="E144" s="8">
        <v>25000</v>
      </c>
    </row>
    <row r="145" spans="1:5" x14ac:dyDescent="0.3">
      <c r="A145" s="4">
        <v>45853</v>
      </c>
      <c r="B145" s="9" t="s">
        <v>296</v>
      </c>
      <c r="C145" s="9" t="s">
        <v>293</v>
      </c>
      <c r="D145" s="9" t="s">
        <v>133</v>
      </c>
      <c r="E145" s="8">
        <v>25000</v>
      </c>
    </row>
    <row r="146" spans="1:5" x14ac:dyDescent="0.3">
      <c r="A146" s="4">
        <v>45853</v>
      </c>
      <c r="B146" s="9" t="s">
        <v>297</v>
      </c>
      <c r="C146" s="9" t="s">
        <v>293</v>
      </c>
      <c r="D146" s="9" t="s">
        <v>133</v>
      </c>
      <c r="E146" s="8">
        <v>25000</v>
      </c>
    </row>
    <row r="147" spans="1:5" x14ac:dyDescent="0.3">
      <c r="A147" s="4">
        <v>45853</v>
      </c>
      <c r="B147" s="9" t="s">
        <v>298</v>
      </c>
      <c r="C147" s="9" t="s">
        <v>293</v>
      </c>
      <c r="D147" s="9" t="s">
        <v>133</v>
      </c>
      <c r="E147" s="8">
        <v>20000</v>
      </c>
    </row>
    <row r="148" spans="1:5" x14ac:dyDescent="0.3">
      <c r="A148" s="4">
        <v>45853</v>
      </c>
      <c r="B148" s="9" t="s">
        <v>299</v>
      </c>
      <c r="C148" s="9" t="s">
        <v>293</v>
      </c>
      <c r="D148" s="9" t="s">
        <v>133</v>
      </c>
      <c r="E148" s="8">
        <v>5000</v>
      </c>
    </row>
    <row r="149" spans="1:5" x14ac:dyDescent="0.3">
      <c r="A149" s="4">
        <v>45853</v>
      </c>
      <c r="B149" s="9" t="s">
        <v>300</v>
      </c>
      <c r="C149" s="9" t="s">
        <v>293</v>
      </c>
      <c r="D149" s="9" t="s">
        <v>133</v>
      </c>
      <c r="E149" s="8">
        <v>5000</v>
      </c>
    </row>
    <row r="150" spans="1:5" x14ac:dyDescent="0.3">
      <c r="A150" s="4">
        <v>45853</v>
      </c>
      <c r="B150" s="9" t="s">
        <v>301</v>
      </c>
      <c r="C150" s="9" t="s">
        <v>293</v>
      </c>
      <c r="D150" s="9" t="s">
        <v>133</v>
      </c>
      <c r="E150" s="8">
        <v>5000</v>
      </c>
    </row>
    <row r="151" spans="1:5" x14ac:dyDescent="0.3">
      <c r="A151" s="4">
        <v>45853</v>
      </c>
      <c r="B151" s="9" t="s">
        <v>302</v>
      </c>
      <c r="C151" s="9" t="s">
        <v>293</v>
      </c>
      <c r="D151" s="9" t="s">
        <v>133</v>
      </c>
      <c r="E151" s="8">
        <v>5000</v>
      </c>
    </row>
    <row r="152" spans="1:5" x14ac:dyDescent="0.3">
      <c r="A152" s="4">
        <v>45853</v>
      </c>
      <c r="B152" s="9" t="s">
        <v>303</v>
      </c>
      <c r="C152" s="9" t="s">
        <v>293</v>
      </c>
      <c r="D152" s="9" t="s">
        <v>133</v>
      </c>
      <c r="E152" s="8">
        <v>5000</v>
      </c>
    </row>
    <row r="153" spans="1:5" x14ac:dyDescent="0.3">
      <c r="A153" s="4">
        <v>45853</v>
      </c>
      <c r="B153" s="9" t="s">
        <v>304</v>
      </c>
      <c r="C153" s="9" t="s">
        <v>305</v>
      </c>
      <c r="D153" s="9" t="s">
        <v>133</v>
      </c>
      <c r="E153" s="8">
        <v>96875</v>
      </c>
    </row>
    <row r="154" spans="1:5" x14ac:dyDescent="0.3">
      <c r="A154" s="4">
        <v>45853</v>
      </c>
      <c r="B154" s="9" t="s">
        <v>306</v>
      </c>
      <c r="C154" s="9" t="s">
        <v>305</v>
      </c>
      <c r="D154" s="9" t="s">
        <v>133</v>
      </c>
      <c r="E154" s="8">
        <v>42760.160000000003</v>
      </c>
    </row>
    <row r="155" spans="1:5" x14ac:dyDescent="0.3">
      <c r="A155" s="4">
        <v>45853</v>
      </c>
      <c r="B155" s="9" t="s">
        <v>307</v>
      </c>
      <c r="C155" s="9" t="s">
        <v>305</v>
      </c>
      <c r="D155" s="9" t="s">
        <v>133</v>
      </c>
      <c r="E155" s="8">
        <v>131575</v>
      </c>
    </row>
    <row r="156" spans="1:5" x14ac:dyDescent="0.3">
      <c r="A156" s="4">
        <v>45853</v>
      </c>
      <c r="B156" s="9" t="s">
        <v>308</v>
      </c>
      <c r="C156" s="9" t="s">
        <v>305</v>
      </c>
      <c r="D156" s="9" t="s">
        <v>133</v>
      </c>
      <c r="E156" s="8">
        <v>115755</v>
      </c>
    </row>
    <row r="157" spans="1:5" x14ac:dyDescent="0.3">
      <c r="A157" s="4">
        <v>45853</v>
      </c>
      <c r="B157" s="9" t="s">
        <v>309</v>
      </c>
      <c r="C157" s="9" t="s">
        <v>305</v>
      </c>
      <c r="D157" s="9" t="s">
        <v>133</v>
      </c>
      <c r="E157" s="8">
        <v>30075</v>
      </c>
    </row>
    <row r="158" spans="1:5" x14ac:dyDescent="0.3">
      <c r="A158" s="4">
        <v>45853</v>
      </c>
      <c r="B158" s="9" t="s">
        <v>310</v>
      </c>
      <c r="C158" s="9" t="s">
        <v>305</v>
      </c>
      <c r="D158" s="9" t="s">
        <v>133</v>
      </c>
      <c r="E158" s="8">
        <v>78475</v>
      </c>
    </row>
    <row r="159" spans="1:5" x14ac:dyDescent="0.3">
      <c r="A159" s="4">
        <v>45853</v>
      </c>
      <c r="B159" s="9" t="s">
        <v>311</v>
      </c>
      <c r="C159" s="9" t="s">
        <v>305</v>
      </c>
      <c r="D159" s="9" t="s">
        <v>133</v>
      </c>
      <c r="E159" s="8">
        <v>97675</v>
      </c>
    </row>
    <row r="160" spans="1:5" x14ac:dyDescent="0.3">
      <c r="A160" s="4">
        <v>45853</v>
      </c>
      <c r="B160" s="9" t="s">
        <v>312</v>
      </c>
      <c r="C160" s="9" t="s">
        <v>305</v>
      </c>
      <c r="D160" s="9" t="s">
        <v>133</v>
      </c>
      <c r="E160" s="8">
        <v>190000</v>
      </c>
    </row>
    <row r="161" spans="1:6" x14ac:dyDescent="0.3">
      <c r="A161" s="4">
        <v>45853</v>
      </c>
      <c r="B161" s="9" t="s">
        <v>313</v>
      </c>
      <c r="C161" s="9" t="s">
        <v>305</v>
      </c>
      <c r="D161" s="9" t="s">
        <v>133</v>
      </c>
      <c r="E161" s="8">
        <v>263650</v>
      </c>
    </row>
    <row r="162" spans="1:6" x14ac:dyDescent="0.3">
      <c r="A162" s="4">
        <v>45853</v>
      </c>
      <c r="B162" s="9" t="s">
        <v>314</v>
      </c>
      <c r="C162" s="9" t="s">
        <v>305</v>
      </c>
      <c r="D162" s="9" t="s">
        <v>133</v>
      </c>
      <c r="E162" s="8">
        <v>232775</v>
      </c>
    </row>
    <row r="163" spans="1:6" x14ac:dyDescent="0.3">
      <c r="A163" s="4">
        <v>45853</v>
      </c>
      <c r="B163" s="9" t="s">
        <v>315</v>
      </c>
      <c r="C163" s="9" t="s">
        <v>305</v>
      </c>
      <c r="D163" s="9" t="s">
        <v>133</v>
      </c>
      <c r="E163" s="8">
        <v>192400</v>
      </c>
      <c r="F163" s="6">
        <f>SUM(E139:E163)</f>
        <v>1768054.1600000001</v>
      </c>
    </row>
    <row r="164" spans="1:6" x14ac:dyDescent="0.3">
      <c r="A164" s="3">
        <v>45771</v>
      </c>
      <c r="B164" t="s">
        <v>316</v>
      </c>
      <c r="C164" t="s">
        <v>317</v>
      </c>
      <c r="D164" t="s">
        <v>318</v>
      </c>
      <c r="E164" s="5">
        <v>19775.12</v>
      </c>
    </row>
    <row r="165" spans="1:6" x14ac:dyDescent="0.3">
      <c r="A165" s="3">
        <v>45785</v>
      </c>
      <c r="B165" t="s">
        <v>319</v>
      </c>
      <c r="C165" t="s">
        <v>320</v>
      </c>
      <c r="D165" t="s">
        <v>321</v>
      </c>
      <c r="E165" s="5">
        <v>85900</v>
      </c>
    </row>
    <row r="166" spans="1:6" x14ac:dyDescent="0.3">
      <c r="A166" s="3">
        <v>45819</v>
      </c>
      <c r="B166" t="s">
        <v>322</v>
      </c>
      <c r="C166" t="s">
        <v>323</v>
      </c>
      <c r="D166" t="s">
        <v>321</v>
      </c>
      <c r="E166" s="5">
        <v>27025</v>
      </c>
    </row>
    <row r="167" spans="1:6" x14ac:dyDescent="0.3">
      <c r="A167" s="3">
        <v>45771</v>
      </c>
      <c r="B167" t="s">
        <v>324</v>
      </c>
      <c r="C167" t="s">
        <v>325</v>
      </c>
      <c r="D167" t="s">
        <v>326</v>
      </c>
      <c r="E167" s="5">
        <v>42275</v>
      </c>
    </row>
    <row r="168" spans="1:6" x14ac:dyDescent="0.3">
      <c r="A168" s="3">
        <v>45792</v>
      </c>
      <c r="B168" t="s">
        <v>327</v>
      </c>
      <c r="C168" t="s">
        <v>328</v>
      </c>
      <c r="D168" t="s">
        <v>326</v>
      </c>
      <c r="E168" s="5">
        <v>18525</v>
      </c>
    </row>
    <row r="169" spans="1:6" x14ac:dyDescent="0.3">
      <c r="A169" s="3">
        <v>45819</v>
      </c>
      <c r="B169" t="s">
        <v>329</v>
      </c>
      <c r="C169" t="s">
        <v>330</v>
      </c>
      <c r="D169" t="s">
        <v>326</v>
      </c>
      <c r="E169" s="5">
        <v>192400</v>
      </c>
    </row>
    <row r="170" spans="1:6" x14ac:dyDescent="0.3">
      <c r="A170" s="3">
        <v>45799</v>
      </c>
      <c r="B170" t="s">
        <v>331</v>
      </c>
      <c r="C170" t="s">
        <v>332</v>
      </c>
      <c r="D170" t="s">
        <v>333</v>
      </c>
      <c r="E170" s="5">
        <v>17948.89</v>
      </c>
    </row>
    <row r="171" spans="1:6" x14ac:dyDescent="0.3">
      <c r="A171" s="3">
        <v>45799</v>
      </c>
      <c r="B171" t="s">
        <v>331</v>
      </c>
      <c r="C171" t="s">
        <v>334</v>
      </c>
      <c r="D171" t="s">
        <v>333</v>
      </c>
      <c r="E171" s="5">
        <v>15162.52</v>
      </c>
    </row>
    <row r="172" spans="1:6" x14ac:dyDescent="0.3">
      <c r="A172" s="3">
        <v>45799</v>
      </c>
      <c r="B172" t="s">
        <v>331</v>
      </c>
      <c r="C172" t="s">
        <v>335</v>
      </c>
      <c r="D172" t="s">
        <v>333</v>
      </c>
      <c r="E172" s="5">
        <v>15162.52</v>
      </c>
    </row>
    <row r="173" spans="1:6" x14ac:dyDescent="0.3">
      <c r="A173" s="3">
        <v>45806</v>
      </c>
      <c r="B173" t="s">
        <v>336</v>
      </c>
      <c r="C173" t="s">
        <v>337</v>
      </c>
      <c r="D173" t="s">
        <v>333</v>
      </c>
      <c r="E173" s="5">
        <v>15499</v>
      </c>
    </row>
    <row r="174" spans="1:6" x14ac:dyDescent="0.3">
      <c r="A174" s="3">
        <v>45806</v>
      </c>
      <c r="B174" t="s">
        <v>336</v>
      </c>
      <c r="C174" t="s">
        <v>338</v>
      </c>
      <c r="D174" t="s">
        <v>333</v>
      </c>
      <c r="E174" s="5">
        <v>12521.13</v>
      </c>
    </row>
    <row r="175" spans="1:6" x14ac:dyDescent="0.3">
      <c r="A175" s="3">
        <v>45819</v>
      </c>
      <c r="B175" t="s">
        <v>339</v>
      </c>
      <c r="C175" t="s">
        <v>340</v>
      </c>
      <c r="D175" t="s">
        <v>333</v>
      </c>
      <c r="E175" s="5">
        <v>158294.92000000001</v>
      </c>
    </row>
    <row r="176" spans="1:6" x14ac:dyDescent="0.3">
      <c r="A176" s="3">
        <v>45819</v>
      </c>
      <c r="B176" t="s">
        <v>339</v>
      </c>
      <c r="C176" t="s">
        <v>341</v>
      </c>
      <c r="D176" t="s">
        <v>333</v>
      </c>
      <c r="E176" s="5">
        <v>12393.09</v>
      </c>
    </row>
    <row r="177" spans="1:5" x14ac:dyDescent="0.3">
      <c r="A177" s="3">
        <v>45819</v>
      </c>
      <c r="B177" t="s">
        <v>339</v>
      </c>
      <c r="C177" t="s">
        <v>342</v>
      </c>
      <c r="D177" t="s">
        <v>333</v>
      </c>
      <c r="E177" s="5">
        <v>11237.35</v>
      </c>
    </row>
    <row r="178" spans="1:5" x14ac:dyDescent="0.3">
      <c r="A178" s="3">
        <v>45819</v>
      </c>
      <c r="B178" t="s">
        <v>339</v>
      </c>
      <c r="C178" t="s">
        <v>343</v>
      </c>
      <c r="D178" t="s">
        <v>333</v>
      </c>
      <c r="E178" s="5">
        <v>10618.21</v>
      </c>
    </row>
    <row r="179" spans="1:5" x14ac:dyDescent="0.3">
      <c r="A179" s="3">
        <v>45759</v>
      </c>
      <c r="B179" t="s">
        <v>344</v>
      </c>
      <c r="C179" t="s">
        <v>345</v>
      </c>
      <c r="D179" t="s">
        <v>346</v>
      </c>
      <c r="E179" s="5">
        <v>141588.57</v>
      </c>
    </row>
    <row r="180" spans="1:5" x14ac:dyDescent="0.3">
      <c r="A180" s="3">
        <v>45759</v>
      </c>
      <c r="B180" t="s">
        <v>344</v>
      </c>
      <c r="C180" t="s">
        <v>342</v>
      </c>
      <c r="D180" t="s">
        <v>346</v>
      </c>
      <c r="E180" s="5">
        <v>11147.16</v>
      </c>
    </row>
    <row r="181" spans="1:5" x14ac:dyDescent="0.3">
      <c r="A181" s="3">
        <v>45759</v>
      </c>
      <c r="B181" t="s">
        <v>344</v>
      </c>
      <c r="C181" t="s">
        <v>341</v>
      </c>
      <c r="D181" t="s">
        <v>346</v>
      </c>
      <c r="E181" s="5">
        <v>12283.37</v>
      </c>
    </row>
    <row r="182" spans="1:5" x14ac:dyDescent="0.3">
      <c r="A182" s="3">
        <v>45785</v>
      </c>
      <c r="B182" t="s">
        <v>347</v>
      </c>
      <c r="C182" t="s">
        <v>332</v>
      </c>
      <c r="D182" t="s">
        <v>346</v>
      </c>
      <c r="E182" s="5">
        <v>17908.349999999999</v>
      </c>
    </row>
    <row r="183" spans="1:5" x14ac:dyDescent="0.3">
      <c r="A183" s="3">
        <v>45785</v>
      </c>
      <c r="B183" t="s">
        <v>347</v>
      </c>
      <c r="C183" t="s">
        <v>348</v>
      </c>
      <c r="D183" t="s">
        <v>346</v>
      </c>
      <c r="E183" s="5">
        <v>14986.03</v>
      </c>
    </row>
    <row r="184" spans="1:5" x14ac:dyDescent="0.3">
      <c r="A184" s="3">
        <v>45785</v>
      </c>
      <c r="B184" t="s">
        <v>347</v>
      </c>
      <c r="C184" t="s">
        <v>338</v>
      </c>
      <c r="D184" t="s">
        <v>346</v>
      </c>
      <c r="E184" s="5">
        <v>11105.55</v>
      </c>
    </row>
    <row r="185" spans="1:5" x14ac:dyDescent="0.3">
      <c r="A185" s="3">
        <v>45785</v>
      </c>
      <c r="B185" t="s">
        <v>347</v>
      </c>
      <c r="C185" t="s">
        <v>349</v>
      </c>
      <c r="D185" t="s">
        <v>346</v>
      </c>
      <c r="E185" s="5">
        <v>12395.17</v>
      </c>
    </row>
    <row r="186" spans="1:5" x14ac:dyDescent="0.3">
      <c r="A186" s="3">
        <v>45785</v>
      </c>
      <c r="B186" t="s">
        <v>347</v>
      </c>
      <c r="C186" t="s">
        <v>350</v>
      </c>
      <c r="D186" t="s">
        <v>346</v>
      </c>
      <c r="E186" s="5">
        <v>10985.07</v>
      </c>
    </row>
    <row r="187" spans="1:5" x14ac:dyDescent="0.3">
      <c r="A187" s="3">
        <v>45792</v>
      </c>
      <c r="B187" t="s">
        <v>351</v>
      </c>
      <c r="C187" t="s">
        <v>352</v>
      </c>
      <c r="D187" t="s">
        <v>346</v>
      </c>
      <c r="E187" s="5">
        <v>128419.75</v>
      </c>
    </row>
    <row r="188" spans="1:5" x14ac:dyDescent="0.3">
      <c r="A188" s="3">
        <v>45793</v>
      </c>
      <c r="B188" t="s">
        <v>351</v>
      </c>
      <c r="C188" t="s">
        <v>342</v>
      </c>
      <c r="D188" t="s">
        <v>346</v>
      </c>
      <c r="E188" s="5">
        <v>11252.35</v>
      </c>
    </row>
    <row r="189" spans="1:5" x14ac:dyDescent="0.3">
      <c r="A189" s="3">
        <v>45841</v>
      </c>
      <c r="B189" t="s">
        <v>353</v>
      </c>
      <c r="C189" t="s">
        <v>354</v>
      </c>
      <c r="D189" t="s">
        <v>354</v>
      </c>
      <c r="E189" s="5">
        <v>13121.51</v>
      </c>
    </row>
    <row r="190" spans="1:5" x14ac:dyDescent="0.3">
      <c r="A190" s="3">
        <v>45819</v>
      </c>
      <c r="B190" t="s">
        <v>355</v>
      </c>
      <c r="C190" t="s">
        <v>356</v>
      </c>
      <c r="D190" t="s">
        <v>357</v>
      </c>
      <c r="E190" s="5">
        <v>3596</v>
      </c>
    </row>
    <row r="191" spans="1:5" x14ac:dyDescent="0.3">
      <c r="A191" s="3">
        <v>45799</v>
      </c>
      <c r="B191" t="s">
        <v>358</v>
      </c>
      <c r="C191" t="s">
        <v>359</v>
      </c>
      <c r="D191" t="s">
        <v>360</v>
      </c>
      <c r="E191" s="5">
        <v>11195</v>
      </c>
    </row>
    <row r="192" spans="1:5" x14ac:dyDescent="0.3">
      <c r="A192" s="3">
        <v>45785</v>
      </c>
      <c r="B192" t="s">
        <v>361</v>
      </c>
      <c r="C192" t="s">
        <v>362</v>
      </c>
      <c r="D192" t="s">
        <v>363</v>
      </c>
      <c r="E192" s="5">
        <v>786.45</v>
      </c>
    </row>
    <row r="193" spans="1:5" x14ac:dyDescent="0.3">
      <c r="A193" s="3">
        <v>45799</v>
      </c>
      <c r="B193" t="s">
        <v>364</v>
      </c>
      <c r="C193" t="s">
        <v>365</v>
      </c>
      <c r="D193" t="s">
        <v>363</v>
      </c>
      <c r="E193" s="5">
        <v>3025</v>
      </c>
    </row>
    <row r="194" spans="1:5" x14ac:dyDescent="0.3">
      <c r="A194" s="3">
        <v>45842</v>
      </c>
      <c r="B194" t="s">
        <v>366</v>
      </c>
      <c r="C194" t="s">
        <v>367</v>
      </c>
      <c r="D194" t="s">
        <v>367</v>
      </c>
      <c r="E194" s="5">
        <v>2425</v>
      </c>
    </row>
    <row r="195" spans="1:5" x14ac:dyDescent="0.3">
      <c r="A195" s="3">
        <v>45841</v>
      </c>
      <c r="B195" t="s">
        <v>368</v>
      </c>
      <c r="C195" t="s">
        <v>369</v>
      </c>
      <c r="D195" t="s">
        <v>370</v>
      </c>
      <c r="E195" s="5">
        <v>7319</v>
      </c>
    </row>
    <row r="196" spans="1:5" x14ac:dyDescent="0.3">
      <c r="A196" s="3">
        <v>45834</v>
      </c>
      <c r="B196" t="s">
        <v>371</v>
      </c>
      <c r="C196" t="s">
        <v>372</v>
      </c>
      <c r="D196" t="s">
        <v>373</v>
      </c>
      <c r="E196" s="5">
        <v>50000</v>
      </c>
    </row>
    <row r="197" spans="1:5" x14ac:dyDescent="0.3">
      <c r="A197" s="3">
        <v>45749</v>
      </c>
      <c r="B197" t="s">
        <v>374</v>
      </c>
      <c r="C197" t="s">
        <v>375</v>
      </c>
      <c r="D197" t="s">
        <v>376</v>
      </c>
      <c r="E197" s="5">
        <v>18775</v>
      </c>
    </row>
    <row r="198" spans="1:5" x14ac:dyDescent="0.3">
      <c r="A198" s="3">
        <v>45749</v>
      </c>
      <c r="B198" t="s">
        <v>377</v>
      </c>
      <c r="C198" t="s">
        <v>378</v>
      </c>
      <c r="E198" s="5">
        <v>147751.79999999999</v>
      </c>
    </row>
    <row r="199" spans="1:5" x14ac:dyDescent="0.3">
      <c r="A199" s="3">
        <v>45759</v>
      </c>
      <c r="B199" t="s">
        <v>379</v>
      </c>
      <c r="C199" t="s">
        <v>380</v>
      </c>
      <c r="E199" s="5">
        <v>32254.17</v>
      </c>
    </row>
    <row r="200" spans="1:5" x14ac:dyDescent="0.3">
      <c r="A200" s="3">
        <v>45792</v>
      </c>
      <c r="B200" t="s">
        <v>381</v>
      </c>
      <c r="C200" t="s">
        <v>382</v>
      </c>
      <c r="E200" s="5">
        <v>22691.67</v>
      </c>
    </row>
    <row r="201" spans="1:5" x14ac:dyDescent="0.3">
      <c r="A201" s="3">
        <v>45821</v>
      </c>
      <c r="B201" t="s">
        <v>383</v>
      </c>
      <c r="C201" t="s">
        <v>384</v>
      </c>
      <c r="D201" t="s">
        <v>385</v>
      </c>
      <c r="E201" s="5">
        <v>40025</v>
      </c>
    </row>
    <row r="202" spans="1:5" x14ac:dyDescent="0.3">
      <c r="A202" s="3">
        <v>45828</v>
      </c>
      <c r="B202" t="s">
        <v>386</v>
      </c>
      <c r="C202" t="s">
        <v>387</v>
      </c>
      <c r="E202" s="5">
        <v>2025</v>
      </c>
    </row>
    <row r="203" spans="1:5" x14ac:dyDescent="0.3">
      <c r="A203" s="3">
        <v>45828</v>
      </c>
      <c r="B203" t="s">
        <v>388</v>
      </c>
      <c r="C203" t="s">
        <v>389</v>
      </c>
      <c r="D203" t="s">
        <v>47</v>
      </c>
      <c r="E203" s="5">
        <v>505</v>
      </c>
    </row>
    <row r="204" spans="1:5" x14ac:dyDescent="0.3">
      <c r="A204" s="3">
        <v>45834</v>
      </c>
      <c r="B204" t="s">
        <v>390</v>
      </c>
      <c r="C204" t="s">
        <v>391</v>
      </c>
      <c r="E204" s="5">
        <v>25689.09</v>
      </c>
    </row>
    <row r="205" spans="1:5" x14ac:dyDescent="0.3">
      <c r="A205" s="3">
        <v>45834</v>
      </c>
      <c r="B205" t="s">
        <v>390</v>
      </c>
      <c r="C205" t="s">
        <v>392</v>
      </c>
      <c r="E205" s="5">
        <v>110353.44</v>
      </c>
    </row>
    <row r="206" spans="1:5" x14ac:dyDescent="0.3">
      <c r="A206" s="3">
        <v>45834</v>
      </c>
      <c r="B206" t="s">
        <v>393</v>
      </c>
      <c r="C206" t="s">
        <v>394</v>
      </c>
      <c r="D206" t="s">
        <v>395</v>
      </c>
      <c r="E206" s="5">
        <v>50025</v>
      </c>
    </row>
    <row r="207" spans="1:5" x14ac:dyDescent="0.3">
      <c r="A207" s="3">
        <v>45848</v>
      </c>
      <c r="B207" t="s">
        <v>396</v>
      </c>
      <c r="C207" t="s">
        <v>397</v>
      </c>
      <c r="D207" t="s">
        <v>333</v>
      </c>
      <c r="E207" s="5">
        <v>12430.43</v>
      </c>
    </row>
    <row r="208" spans="1:5" x14ac:dyDescent="0.3">
      <c r="A208" s="3">
        <v>45848</v>
      </c>
      <c r="B208" t="s">
        <v>396</v>
      </c>
      <c r="C208" t="s">
        <v>398</v>
      </c>
      <c r="D208" t="s">
        <v>333</v>
      </c>
      <c r="E208" s="5">
        <v>11280.54</v>
      </c>
    </row>
    <row r="209" spans="1:5" x14ac:dyDescent="0.3">
      <c r="A209" s="3">
        <v>45848</v>
      </c>
      <c r="B209" t="s">
        <v>399</v>
      </c>
      <c r="C209" t="s">
        <v>124</v>
      </c>
      <c r="D209" t="s">
        <v>400</v>
      </c>
      <c r="E209" s="5">
        <v>2725</v>
      </c>
    </row>
    <row r="210" spans="1:5" x14ac:dyDescent="0.3">
      <c r="A210" s="3">
        <v>45853</v>
      </c>
      <c r="B210" t="s">
        <v>401</v>
      </c>
      <c r="C210" t="s">
        <v>94</v>
      </c>
      <c r="D210" t="s">
        <v>93</v>
      </c>
      <c r="E210" s="5">
        <v>40025</v>
      </c>
    </row>
    <row r="211" spans="1:5" x14ac:dyDescent="0.3">
      <c r="A211" s="3">
        <v>45869</v>
      </c>
      <c r="B211" t="s">
        <v>402</v>
      </c>
      <c r="C211" t="s">
        <v>337</v>
      </c>
      <c r="D211" t="s">
        <v>403</v>
      </c>
      <c r="E211" s="5">
        <v>15615.57</v>
      </c>
    </row>
    <row r="212" spans="1:5" x14ac:dyDescent="0.3">
      <c r="A212" s="3">
        <v>45869</v>
      </c>
      <c r="B212" t="s">
        <v>402</v>
      </c>
      <c r="C212" t="s">
        <v>404</v>
      </c>
      <c r="D212" t="s">
        <v>405</v>
      </c>
      <c r="E212" s="5">
        <v>50000</v>
      </c>
    </row>
    <row r="213" spans="1:5" x14ac:dyDescent="0.3">
      <c r="A213" s="3">
        <v>45869</v>
      </c>
      <c r="B213" t="s">
        <v>402</v>
      </c>
      <c r="C213" t="s">
        <v>406</v>
      </c>
      <c r="D213" t="s">
        <v>407</v>
      </c>
      <c r="E213" s="5">
        <v>10000</v>
      </c>
    </row>
    <row r="214" spans="1:5" x14ac:dyDescent="0.3">
      <c r="A214" s="3">
        <v>45869</v>
      </c>
      <c r="B214" t="s">
        <v>402</v>
      </c>
      <c r="C214" t="s">
        <v>404</v>
      </c>
      <c r="D214" t="s">
        <v>408</v>
      </c>
      <c r="E214" s="5">
        <v>6693.4</v>
      </c>
    </row>
    <row r="215" spans="1:5" x14ac:dyDescent="0.3">
      <c r="A215" s="3">
        <v>45869</v>
      </c>
      <c r="B215" t="s">
        <v>402</v>
      </c>
      <c r="C215" t="s">
        <v>409</v>
      </c>
      <c r="D215" t="s">
        <v>410</v>
      </c>
      <c r="E215" s="5">
        <v>16175</v>
      </c>
    </row>
    <row r="216" spans="1:5" x14ac:dyDescent="0.3">
      <c r="A216" s="3">
        <v>45869</v>
      </c>
      <c r="B216" t="s">
        <v>402</v>
      </c>
      <c r="C216" t="s">
        <v>411</v>
      </c>
      <c r="D216" t="s">
        <v>412</v>
      </c>
      <c r="E216" s="5">
        <v>4500</v>
      </c>
    </row>
    <row r="217" spans="1:5" x14ac:dyDescent="0.3">
      <c r="A217" s="3">
        <v>45869</v>
      </c>
      <c r="B217" t="s">
        <v>402</v>
      </c>
      <c r="C217" t="s">
        <v>413</v>
      </c>
      <c r="D217" t="s">
        <v>414</v>
      </c>
      <c r="E217" s="5">
        <v>4369</v>
      </c>
    </row>
    <row r="218" spans="1:5" x14ac:dyDescent="0.3">
      <c r="A218" s="3">
        <v>45869</v>
      </c>
      <c r="B218" t="s">
        <v>402</v>
      </c>
      <c r="C218" t="s">
        <v>415</v>
      </c>
      <c r="D218" t="s">
        <v>416</v>
      </c>
      <c r="E218" s="5">
        <v>10148.43</v>
      </c>
    </row>
    <row r="219" spans="1:5" x14ac:dyDescent="0.3">
      <c r="A219" s="3">
        <v>45869</v>
      </c>
      <c r="B219" t="s">
        <v>402</v>
      </c>
      <c r="C219" t="s">
        <v>417</v>
      </c>
      <c r="D219" t="s">
        <v>416</v>
      </c>
      <c r="E219" s="5">
        <v>3427.17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5193-257B-4785-98B7-258809EC809D}">
  <dimension ref="A1:J42"/>
  <sheetViews>
    <sheetView tabSelected="1" topLeftCell="A21" workbookViewId="0">
      <selection activeCell="H35" sqref="H35"/>
    </sheetView>
  </sheetViews>
  <sheetFormatPr defaultRowHeight="14.4" x14ac:dyDescent="0.3"/>
  <cols>
    <col min="1" max="1" width="14.5546875" customWidth="1"/>
    <col min="2" max="2" width="21.6640625" customWidth="1"/>
    <col min="3" max="3" width="34.77734375" customWidth="1"/>
    <col min="4" max="4" width="29.6640625" customWidth="1"/>
    <col min="5" max="5" width="13.109375" style="5" bestFit="1" customWidth="1"/>
    <col min="6" max="6" width="13.6640625" customWidth="1"/>
    <col min="8" max="8" width="13.109375" bestFit="1" customWidth="1"/>
    <col min="9" max="9" width="24" customWidth="1"/>
    <col min="10" max="10" width="10.44140625" bestFit="1" customWidth="1"/>
  </cols>
  <sheetData>
    <row r="1" spans="1:10" ht="15" thickBot="1" x14ac:dyDescent="0.35">
      <c r="A1" s="24" t="s">
        <v>0</v>
      </c>
      <c r="B1" s="25" t="s">
        <v>1</v>
      </c>
      <c r="C1" s="25" t="s">
        <v>2</v>
      </c>
      <c r="D1" s="25" t="s">
        <v>418</v>
      </c>
      <c r="E1" s="26" t="s">
        <v>423</v>
      </c>
      <c r="F1" s="27" t="s">
        <v>424</v>
      </c>
    </row>
    <row r="2" spans="1:10" x14ac:dyDescent="0.3">
      <c r="A2" s="20">
        <v>45841</v>
      </c>
      <c r="B2" s="16" t="s">
        <v>115</v>
      </c>
      <c r="C2" s="21" t="s">
        <v>425</v>
      </c>
      <c r="D2" s="21" t="s">
        <v>426</v>
      </c>
      <c r="E2" s="22"/>
      <c r="F2" s="23">
        <v>1962795</v>
      </c>
    </row>
    <row r="3" spans="1:10" x14ac:dyDescent="0.3">
      <c r="A3" s="18">
        <v>45848</v>
      </c>
      <c r="B3" s="16" t="s">
        <v>115</v>
      </c>
      <c r="C3" s="16" t="s">
        <v>427</v>
      </c>
      <c r="D3" s="16" t="s">
        <v>428</v>
      </c>
      <c r="E3" s="17">
        <v>50000</v>
      </c>
      <c r="F3" s="19"/>
    </row>
    <row r="4" spans="1:10" x14ac:dyDescent="0.3">
      <c r="A4" s="18">
        <v>45841</v>
      </c>
      <c r="B4" s="16" t="s">
        <v>115</v>
      </c>
      <c r="C4" s="16" t="s">
        <v>430</v>
      </c>
      <c r="D4" s="16" t="s">
        <v>431</v>
      </c>
      <c r="E4" s="17">
        <v>30025</v>
      </c>
      <c r="F4" s="19"/>
    </row>
    <row r="5" spans="1:10" x14ac:dyDescent="0.3">
      <c r="A5" s="18">
        <v>45841</v>
      </c>
      <c r="B5" s="16" t="s">
        <v>115</v>
      </c>
      <c r="C5" s="16" t="s">
        <v>354</v>
      </c>
      <c r="D5" s="16" t="s">
        <v>354</v>
      </c>
      <c r="E5" s="17">
        <v>13121.51</v>
      </c>
      <c r="F5" s="19"/>
    </row>
    <row r="6" spans="1:10" x14ac:dyDescent="0.3">
      <c r="A6" s="18">
        <v>45841</v>
      </c>
      <c r="B6" s="16" t="s">
        <v>115</v>
      </c>
      <c r="C6" s="16" t="s">
        <v>432</v>
      </c>
      <c r="D6" s="16" t="s">
        <v>370</v>
      </c>
      <c r="E6" s="17">
        <v>7319</v>
      </c>
      <c r="F6" s="19"/>
    </row>
    <row r="7" spans="1:10" x14ac:dyDescent="0.3">
      <c r="A7" s="18">
        <v>45842</v>
      </c>
      <c r="B7" s="16" t="s">
        <v>115</v>
      </c>
      <c r="C7" s="16" t="s">
        <v>516</v>
      </c>
      <c r="D7" s="16" t="s">
        <v>518</v>
      </c>
      <c r="E7" s="17">
        <v>3169.58</v>
      </c>
      <c r="F7" s="19"/>
    </row>
    <row r="8" spans="1:10" x14ac:dyDescent="0.3">
      <c r="A8" s="18">
        <v>45842</v>
      </c>
      <c r="B8" s="16" t="s">
        <v>115</v>
      </c>
      <c r="C8" s="16" t="s">
        <v>367</v>
      </c>
      <c r="D8" s="16" t="s">
        <v>367</v>
      </c>
      <c r="E8" s="17">
        <v>2425</v>
      </c>
      <c r="F8" s="19"/>
    </row>
    <row r="9" spans="1:10" x14ac:dyDescent="0.3">
      <c r="A9" s="18">
        <v>45843</v>
      </c>
      <c r="B9" s="16" t="s">
        <v>115</v>
      </c>
      <c r="C9" s="16" t="s">
        <v>25</v>
      </c>
      <c r="D9" s="16" t="s">
        <v>9</v>
      </c>
      <c r="E9" s="17">
        <v>15</v>
      </c>
      <c r="F9" s="19"/>
    </row>
    <row r="10" spans="1:10" x14ac:dyDescent="0.3">
      <c r="A10" s="18">
        <v>45848</v>
      </c>
      <c r="B10" s="16" t="s">
        <v>115</v>
      </c>
      <c r="C10" s="16" t="s">
        <v>397</v>
      </c>
      <c r="D10" s="16" t="s">
        <v>333</v>
      </c>
      <c r="E10" s="17">
        <v>12430.43</v>
      </c>
      <c r="F10" s="19"/>
    </row>
    <row r="11" spans="1:10" x14ac:dyDescent="0.3">
      <c r="A11" s="18">
        <v>45848</v>
      </c>
      <c r="B11" s="16" t="s">
        <v>115</v>
      </c>
      <c r="C11" s="16" t="s">
        <v>398</v>
      </c>
      <c r="D11" s="16" t="s">
        <v>333</v>
      </c>
      <c r="E11" s="17">
        <v>11280.54</v>
      </c>
      <c r="F11" s="19"/>
    </row>
    <row r="12" spans="1:10" x14ac:dyDescent="0.3">
      <c r="A12" s="18">
        <v>45848</v>
      </c>
      <c r="B12" s="16" t="s">
        <v>115</v>
      </c>
      <c r="C12" s="16" t="s">
        <v>517</v>
      </c>
      <c r="D12" s="16" t="s">
        <v>434</v>
      </c>
      <c r="E12" s="17">
        <v>2725</v>
      </c>
      <c r="F12" s="19"/>
    </row>
    <row r="13" spans="1:10" x14ac:dyDescent="0.3">
      <c r="A13" s="18">
        <v>45849</v>
      </c>
      <c r="B13" s="16" t="s">
        <v>115</v>
      </c>
      <c r="C13" s="16" t="s">
        <v>25</v>
      </c>
      <c r="D13" s="16" t="s">
        <v>9</v>
      </c>
      <c r="E13" s="17">
        <v>30</v>
      </c>
      <c r="F13" s="19"/>
    </row>
    <row r="14" spans="1:10" x14ac:dyDescent="0.3">
      <c r="A14" s="18">
        <v>45849</v>
      </c>
      <c r="B14" s="16" t="s">
        <v>115</v>
      </c>
      <c r="C14" s="16" t="s">
        <v>133</v>
      </c>
      <c r="D14" s="16" t="s">
        <v>133</v>
      </c>
      <c r="E14" s="17">
        <v>1768054.1600000001</v>
      </c>
      <c r="F14" s="19"/>
    </row>
    <row r="15" spans="1:10" x14ac:dyDescent="0.3">
      <c r="A15" s="18">
        <v>45853</v>
      </c>
      <c r="B15" s="16" t="s">
        <v>115</v>
      </c>
      <c r="C15" s="16" t="s">
        <v>94</v>
      </c>
      <c r="D15" s="16" t="s">
        <v>515</v>
      </c>
      <c r="E15" s="17">
        <v>40025</v>
      </c>
      <c r="F15" s="19"/>
    </row>
    <row r="16" spans="1:10" x14ac:dyDescent="0.3">
      <c r="A16" s="18">
        <v>45854</v>
      </c>
      <c r="B16" s="16" t="s">
        <v>115</v>
      </c>
      <c r="C16" s="16" t="s">
        <v>25</v>
      </c>
      <c r="D16" s="16" t="s">
        <v>9</v>
      </c>
      <c r="E16" s="17">
        <v>1050</v>
      </c>
      <c r="F16" s="19"/>
      <c r="H16" s="6"/>
      <c r="I16" s="7"/>
      <c r="J16" s="6">
        <f>H16-I16</f>
        <v>0</v>
      </c>
    </row>
    <row r="17" spans="1:6" x14ac:dyDescent="0.3">
      <c r="A17" s="18">
        <v>45854</v>
      </c>
      <c r="B17" s="16" t="s">
        <v>115</v>
      </c>
      <c r="C17" s="16" t="s">
        <v>25</v>
      </c>
      <c r="D17" s="16" t="s">
        <v>9</v>
      </c>
      <c r="E17" s="17">
        <v>15</v>
      </c>
      <c r="F17" s="19"/>
    </row>
    <row r="18" spans="1:6" x14ac:dyDescent="0.3">
      <c r="A18" s="18">
        <v>45855</v>
      </c>
      <c r="B18" s="16" t="s">
        <v>106</v>
      </c>
      <c r="C18" s="16" t="s">
        <v>435</v>
      </c>
      <c r="D18" s="16" t="s">
        <v>436</v>
      </c>
      <c r="E18" s="17">
        <v>1420000</v>
      </c>
      <c r="F18" s="19"/>
    </row>
    <row r="19" spans="1:6" x14ac:dyDescent="0.3">
      <c r="A19" s="18">
        <v>45855</v>
      </c>
      <c r="B19" s="16" t="s">
        <v>115</v>
      </c>
      <c r="C19" s="16" t="s">
        <v>116</v>
      </c>
      <c r="D19" s="16" t="s">
        <v>437</v>
      </c>
      <c r="E19" s="17">
        <v>50025</v>
      </c>
      <c r="F19" s="19"/>
    </row>
    <row r="20" spans="1:6" x14ac:dyDescent="0.3">
      <c r="A20" s="18">
        <v>45855</v>
      </c>
      <c r="B20" s="16" t="s">
        <v>118</v>
      </c>
      <c r="C20" s="16" t="s">
        <v>119</v>
      </c>
      <c r="D20" s="16" t="s">
        <v>438</v>
      </c>
      <c r="E20" s="17">
        <v>130712.5</v>
      </c>
      <c r="F20" s="19"/>
    </row>
    <row r="21" spans="1:6" x14ac:dyDescent="0.3">
      <c r="A21" s="18">
        <v>45855</v>
      </c>
      <c r="B21" s="16" t="s">
        <v>121</v>
      </c>
      <c r="C21" s="16" t="s">
        <v>122</v>
      </c>
      <c r="D21" s="16" t="s">
        <v>438</v>
      </c>
      <c r="E21" s="17">
        <v>7775</v>
      </c>
      <c r="F21" s="19"/>
    </row>
    <row r="22" spans="1:6" x14ac:dyDescent="0.3">
      <c r="A22" s="18">
        <v>45855</v>
      </c>
      <c r="B22" s="16" t="s">
        <v>121</v>
      </c>
      <c r="C22" s="16" t="s">
        <v>433</v>
      </c>
      <c r="D22" s="16" t="s">
        <v>125</v>
      </c>
      <c r="E22" s="17">
        <v>145</v>
      </c>
      <c r="F22" s="19"/>
    </row>
    <row r="23" spans="1:6" x14ac:dyDescent="0.3">
      <c r="A23" s="18">
        <v>45856</v>
      </c>
      <c r="B23" s="16" t="s">
        <v>121</v>
      </c>
      <c r="C23" s="16" t="s">
        <v>28</v>
      </c>
      <c r="D23" s="16" t="s">
        <v>9</v>
      </c>
      <c r="E23" s="17">
        <v>15</v>
      </c>
      <c r="F23" s="19"/>
    </row>
    <row r="24" spans="1:6" x14ac:dyDescent="0.3">
      <c r="A24" s="18">
        <v>45869</v>
      </c>
      <c r="B24" s="16" t="s">
        <v>121</v>
      </c>
      <c r="C24" s="16" t="s">
        <v>54</v>
      </c>
      <c r="D24" s="16" t="s">
        <v>55</v>
      </c>
      <c r="E24" s="17">
        <v>95225</v>
      </c>
      <c r="F24" s="19"/>
    </row>
    <row r="25" spans="1:6" x14ac:dyDescent="0.3">
      <c r="A25" s="18">
        <v>45869</v>
      </c>
      <c r="B25" s="16" t="s">
        <v>121</v>
      </c>
      <c r="C25" s="16" t="s">
        <v>127</v>
      </c>
      <c r="D25" s="16" t="s">
        <v>439</v>
      </c>
      <c r="E25" s="17">
        <v>11985</v>
      </c>
      <c r="F25" s="19"/>
    </row>
    <row r="26" spans="1:6" x14ac:dyDescent="0.3">
      <c r="A26" s="18">
        <v>45869</v>
      </c>
      <c r="B26" s="16" t="s">
        <v>121</v>
      </c>
      <c r="C26" s="16" t="s">
        <v>519</v>
      </c>
      <c r="D26" s="16" t="s">
        <v>439</v>
      </c>
      <c r="E26" s="17">
        <v>1681</v>
      </c>
      <c r="F26" s="19"/>
    </row>
    <row r="27" spans="1:6" x14ac:dyDescent="0.3">
      <c r="A27" s="18">
        <v>45869</v>
      </c>
      <c r="B27" s="16" t="s">
        <v>121</v>
      </c>
      <c r="C27" s="16" t="s">
        <v>337</v>
      </c>
      <c r="D27" s="16" t="s">
        <v>403</v>
      </c>
      <c r="E27" s="17">
        <v>15615.57</v>
      </c>
      <c r="F27" s="19"/>
    </row>
    <row r="28" spans="1:6" x14ac:dyDescent="0.3">
      <c r="A28" s="18">
        <v>45869</v>
      </c>
      <c r="B28" s="16" t="s">
        <v>121</v>
      </c>
      <c r="C28" s="16" t="s">
        <v>404</v>
      </c>
      <c r="D28" s="16" t="s">
        <v>405</v>
      </c>
      <c r="E28" s="17">
        <v>50000</v>
      </c>
      <c r="F28" s="19"/>
    </row>
    <row r="29" spans="1:6" x14ac:dyDescent="0.3">
      <c r="A29" s="18">
        <v>45869</v>
      </c>
      <c r="B29" s="16" t="s">
        <v>121</v>
      </c>
      <c r="C29" s="16" t="s">
        <v>406</v>
      </c>
      <c r="D29" s="16" t="s">
        <v>407</v>
      </c>
      <c r="E29" s="17">
        <v>10000</v>
      </c>
      <c r="F29" s="19"/>
    </row>
    <row r="30" spans="1:6" x14ac:dyDescent="0.3">
      <c r="A30" s="18">
        <v>45869</v>
      </c>
      <c r="B30" s="16" t="s">
        <v>121</v>
      </c>
      <c r="C30" s="16" t="s">
        <v>404</v>
      </c>
      <c r="D30" s="16" t="s">
        <v>408</v>
      </c>
      <c r="E30" s="17">
        <v>6693.4</v>
      </c>
      <c r="F30" s="19"/>
    </row>
    <row r="31" spans="1:6" x14ac:dyDescent="0.3">
      <c r="A31" s="18">
        <v>45869</v>
      </c>
      <c r="B31" s="16" t="s">
        <v>121</v>
      </c>
      <c r="C31" s="16" t="s">
        <v>440</v>
      </c>
      <c r="D31" s="16" t="s">
        <v>410</v>
      </c>
      <c r="E31" s="17">
        <v>16175</v>
      </c>
      <c r="F31" s="19"/>
    </row>
    <row r="32" spans="1:6" x14ac:dyDescent="0.3">
      <c r="A32" s="18">
        <v>45869</v>
      </c>
      <c r="B32" s="16" t="s">
        <v>121</v>
      </c>
      <c r="C32" s="16" t="s">
        <v>411</v>
      </c>
      <c r="D32" s="16" t="s">
        <v>412</v>
      </c>
      <c r="E32" s="17">
        <v>4500</v>
      </c>
      <c r="F32" s="19"/>
    </row>
    <row r="33" spans="1:6" x14ac:dyDescent="0.3">
      <c r="A33" s="18">
        <v>45869</v>
      </c>
      <c r="B33" s="16" t="s">
        <v>121</v>
      </c>
      <c r="C33" s="16" t="s">
        <v>441</v>
      </c>
      <c r="D33" s="16" t="s">
        <v>414</v>
      </c>
      <c r="E33" s="17">
        <v>4369</v>
      </c>
      <c r="F33" s="19"/>
    </row>
    <row r="34" spans="1:6" x14ac:dyDescent="0.3">
      <c r="A34" s="18">
        <v>45869</v>
      </c>
      <c r="B34" s="16" t="s">
        <v>121</v>
      </c>
      <c r="C34" s="16" t="s">
        <v>415</v>
      </c>
      <c r="D34" s="16" t="s">
        <v>416</v>
      </c>
      <c r="E34" s="17">
        <v>10148.43</v>
      </c>
      <c r="F34" s="19"/>
    </row>
    <row r="35" spans="1:6" x14ac:dyDescent="0.3">
      <c r="A35" s="18">
        <v>45869</v>
      </c>
      <c r="B35" s="16" t="s">
        <v>121</v>
      </c>
      <c r="C35" s="16" t="s">
        <v>417</v>
      </c>
      <c r="D35" s="16" t="s">
        <v>416</v>
      </c>
      <c r="E35" s="17">
        <v>3427.17</v>
      </c>
      <c r="F35" s="19"/>
    </row>
    <row r="36" spans="1:6" ht="15" thickBot="1" x14ac:dyDescent="0.35">
      <c r="A36" s="12"/>
      <c r="B36" s="13"/>
      <c r="C36" s="13" t="s">
        <v>419</v>
      </c>
      <c r="D36" s="13"/>
      <c r="E36" s="14">
        <f>SUM(E3:E35)</f>
        <v>3780177.29</v>
      </c>
      <c r="F36" s="15">
        <f>SUM(F2:F35)</f>
        <v>1962795</v>
      </c>
    </row>
    <row r="39" spans="1:6" x14ac:dyDescent="0.3">
      <c r="A39" t="s">
        <v>420</v>
      </c>
      <c r="E39" s="11"/>
    </row>
    <row r="40" spans="1:6" x14ac:dyDescent="0.3">
      <c r="A40" t="s">
        <v>426</v>
      </c>
      <c r="E40" s="10"/>
      <c r="F40" s="6"/>
    </row>
    <row r="41" spans="1:6" x14ac:dyDescent="0.3">
      <c r="A41" t="s">
        <v>442</v>
      </c>
      <c r="E41" s="10"/>
    </row>
    <row r="42" spans="1:6" x14ac:dyDescent="0.3">
      <c r="A42" t="s">
        <v>421</v>
      </c>
      <c r="E4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D0E9-EBD4-45B2-83DB-60567AC439BC}">
  <dimension ref="A1:H45"/>
  <sheetViews>
    <sheetView topLeftCell="A22" workbookViewId="0">
      <selection activeCell="C8" sqref="C8"/>
    </sheetView>
  </sheetViews>
  <sheetFormatPr defaultRowHeight="14.4" x14ac:dyDescent="0.3"/>
  <cols>
    <col min="1" max="1" width="10.77734375" customWidth="1"/>
    <col min="2" max="2" width="28.88671875" customWidth="1"/>
    <col min="3" max="3" width="35.6640625" customWidth="1"/>
    <col min="4" max="4" width="28.21875" customWidth="1"/>
    <col min="5" max="5" width="14.33203125" customWidth="1"/>
    <col min="6" max="6" width="14" customWidth="1"/>
    <col min="7" max="7" width="11.33203125" customWidth="1"/>
    <col min="8" max="8" width="9.44140625" bestFit="1" customWidth="1"/>
  </cols>
  <sheetData>
    <row r="1" spans="1:6" x14ac:dyDescent="0.3">
      <c r="A1" s="32" t="s">
        <v>0</v>
      </c>
      <c r="B1" s="33" t="s">
        <v>1</v>
      </c>
      <c r="C1" s="33" t="s">
        <v>2</v>
      </c>
      <c r="D1" s="33" t="s">
        <v>418</v>
      </c>
      <c r="E1" s="34" t="s">
        <v>423</v>
      </c>
      <c r="F1" s="35" t="s">
        <v>424</v>
      </c>
    </row>
    <row r="2" spans="1:6" x14ac:dyDescent="0.3">
      <c r="A2" s="44">
        <v>45881</v>
      </c>
      <c r="B2" s="36" t="s">
        <v>443</v>
      </c>
      <c r="C2" s="36" t="s">
        <v>422</v>
      </c>
      <c r="D2" s="36" t="s">
        <v>444</v>
      </c>
      <c r="E2" s="37"/>
      <c r="F2" s="45">
        <v>1948623.45</v>
      </c>
    </row>
    <row r="3" spans="1:6" x14ac:dyDescent="0.3">
      <c r="A3" s="44">
        <v>45882</v>
      </c>
      <c r="B3" s="36" t="s">
        <v>445</v>
      </c>
      <c r="C3" s="36" t="s">
        <v>422</v>
      </c>
      <c r="D3" s="36" t="s">
        <v>444</v>
      </c>
      <c r="E3" s="37"/>
      <c r="F3" s="45">
        <v>977109.12</v>
      </c>
    </row>
    <row r="4" spans="1:6" x14ac:dyDescent="0.3">
      <c r="A4" s="44">
        <v>45895</v>
      </c>
      <c r="B4" s="36" t="s">
        <v>446</v>
      </c>
      <c r="C4" s="36" t="s">
        <v>422</v>
      </c>
      <c r="D4" s="36" t="s">
        <v>444</v>
      </c>
      <c r="E4" s="37"/>
      <c r="F4" s="45">
        <v>193663.68</v>
      </c>
    </row>
    <row r="5" spans="1:6" ht="28.8" x14ac:dyDescent="0.3">
      <c r="A5" s="44">
        <v>45870</v>
      </c>
      <c r="B5" s="36" t="s">
        <v>447</v>
      </c>
      <c r="C5" s="36" t="s">
        <v>24</v>
      </c>
      <c r="D5" s="36" t="s">
        <v>448</v>
      </c>
      <c r="E5" s="37">
        <v>30</v>
      </c>
      <c r="F5" s="19"/>
    </row>
    <row r="6" spans="1:6" x14ac:dyDescent="0.3">
      <c r="A6" s="44">
        <v>45879</v>
      </c>
      <c r="B6" s="36" t="s">
        <v>449</v>
      </c>
      <c r="C6" s="36" t="s">
        <v>450</v>
      </c>
      <c r="D6" s="36" t="s">
        <v>50</v>
      </c>
      <c r="E6" s="37">
        <v>3169.58</v>
      </c>
      <c r="F6" s="19"/>
    </row>
    <row r="7" spans="1:6" x14ac:dyDescent="0.3">
      <c r="A7" s="44">
        <v>45879</v>
      </c>
      <c r="B7" s="36" t="s">
        <v>451</v>
      </c>
      <c r="C7" s="38" t="s">
        <v>452</v>
      </c>
      <c r="D7" s="39" t="s">
        <v>47</v>
      </c>
      <c r="E7" s="37">
        <v>525</v>
      </c>
      <c r="F7" s="19"/>
    </row>
    <row r="8" spans="1:6" x14ac:dyDescent="0.3">
      <c r="A8" s="44">
        <v>45879</v>
      </c>
      <c r="B8" s="36" t="s">
        <v>453</v>
      </c>
      <c r="C8" s="38" t="s">
        <v>454</v>
      </c>
      <c r="D8" s="39" t="s">
        <v>47</v>
      </c>
      <c r="E8" s="37">
        <v>1025</v>
      </c>
      <c r="F8" s="19"/>
    </row>
    <row r="9" spans="1:6" x14ac:dyDescent="0.3">
      <c r="A9" s="44">
        <v>45879</v>
      </c>
      <c r="B9" s="36" t="s">
        <v>455</v>
      </c>
      <c r="C9" s="38" t="s">
        <v>456</v>
      </c>
      <c r="D9" s="39" t="s">
        <v>47</v>
      </c>
      <c r="E9" s="37">
        <v>1025</v>
      </c>
      <c r="F9" s="19"/>
    </row>
    <row r="10" spans="1:6" ht="28.8" x14ac:dyDescent="0.3">
      <c r="A10" s="44">
        <v>45879</v>
      </c>
      <c r="B10" s="36" t="s">
        <v>457</v>
      </c>
      <c r="C10" s="38" t="s">
        <v>458</v>
      </c>
      <c r="D10" s="36" t="s">
        <v>459</v>
      </c>
      <c r="E10" s="37">
        <v>45400</v>
      </c>
      <c r="F10" s="19"/>
    </row>
    <row r="11" spans="1:6" x14ac:dyDescent="0.3">
      <c r="A11" s="44">
        <v>45879</v>
      </c>
      <c r="B11" s="36" t="s">
        <v>460</v>
      </c>
      <c r="C11" s="38" t="s">
        <v>461</v>
      </c>
      <c r="D11" s="39" t="s">
        <v>47</v>
      </c>
      <c r="E11" s="37">
        <v>1025</v>
      </c>
      <c r="F11" s="19"/>
    </row>
    <row r="12" spans="1:6" x14ac:dyDescent="0.3">
      <c r="A12" s="44">
        <v>45879</v>
      </c>
      <c r="B12" s="36" t="s">
        <v>462</v>
      </c>
      <c r="C12" s="38" t="s">
        <v>463</v>
      </c>
      <c r="D12" s="39" t="s">
        <v>47</v>
      </c>
      <c r="E12" s="37">
        <v>525</v>
      </c>
      <c r="F12" s="19"/>
    </row>
    <row r="13" spans="1:6" ht="28.8" x14ac:dyDescent="0.3">
      <c r="A13" s="44">
        <v>45879</v>
      </c>
      <c r="B13" s="36" t="s">
        <v>464</v>
      </c>
      <c r="C13" s="36" t="s">
        <v>465</v>
      </c>
      <c r="D13" s="36" t="s">
        <v>466</v>
      </c>
      <c r="E13" s="37">
        <v>50025</v>
      </c>
      <c r="F13" s="19"/>
    </row>
    <row r="14" spans="1:6" x14ac:dyDescent="0.3">
      <c r="A14" s="44">
        <v>45883</v>
      </c>
      <c r="B14" s="36" t="s">
        <v>467</v>
      </c>
      <c r="C14" s="36" t="s">
        <v>429</v>
      </c>
      <c r="D14" s="16" t="s">
        <v>431</v>
      </c>
      <c r="E14" s="37">
        <v>30025</v>
      </c>
      <c r="F14" s="19"/>
    </row>
    <row r="15" spans="1:6" x14ac:dyDescent="0.3">
      <c r="A15" s="44">
        <v>45883</v>
      </c>
      <c r="B15" s="36" t="s">
        <v>468</v>
      </c>
      <c r="C15" s="30" t="s">
        <v>469</v>
      </c>
      <c r="D15" s="30" t="s">
        <v>470</v>
      </c>
      <c r="E15" s="31">
        <v>2100</v>
      </c>
      <c r="F15" s="19"/>
    </row>
    <row r="16" spans="1:6" x14ac:dyDescent="0.3">
      <c r="A16" s="44">
        <v>45883</v>
      </c>
      <c r="B16" s="36" t="s">
        <v>468</v>
      </c>
      <c r="C16" s="30" t="s">
        <v>471</v>
      </c>
      <c r="D16" s="30" t="s">
        <v>472</v>
      </c>
      <c r="E16" s="31">
        <v>10714.86</v>
      </c>
      <c r="F16" s="19"/>
    </row>
    <row r="17" spans="1:6" x14ac:dyDescent="0.3">
      <c r="A17" s="44">
        <v>45883</v>
      </c>
      <c r="B17" s="36" t="s">
        <v>468</v>
      </c>
      <c r="C17" s="30" t="s">
        <v>341</v>
      </c>
      <c r="D17" s="30" t="s">
        <v>333</v>
      </c>
      <c r="E17" s="31">
        <v>12460</v>
      </c>
      <c r="F17" s="19"/>
    </row>
    <row r="18" spans="1:6" x14ac:dyDescent="0.3">
      <c r="A18" s="44">
        <v>45883</v>
      </c>
      <c r="B18" s="36" t="s">
        <v>468</v>
      </c>
      <c r="C18" s="30" t="s">
        <v>342</v>
      </c>
      <c r="D18" s="30" t="s">
        <v>333</v>
      </c>
      <c r="E18" s="31">
        <v>11293</v>
      </c>
      <c r="F18" s="19"/>
    </row>
    <row r="19" spans="1:6" ht="28.8" x14ac:dyDescent="0.3">
      <c r="A19" s="44">
        <v>45883</v>
      </c>
      <c r="B19" s="36" t="s">
        <v>473</v>
      </c>
      <c r="C19" s="36" t="s">
        <v>474</v>
      </c>
      <c r="D19" s="36" t="s">
        <v>459</v>
      </c>
      <c r="E19" s="37">
        <v>120000</v>
      </c>
      <c r="F19" s="19"/>
    </row>
    <row r="20" spans="1:6" x14ac:dyDescent="0.3">
      <c r="A20" s="44">
        <v>45883</v>
      </c>
      <c r="B20" s="36" t="s">
        <v>475</v>
      </c>
      <c r="C20" s="16" t="s">
        <v>476</v>
      </c>
      <c r="D20" s="16" t="s">
        <v>55</v>
      </c>
      <c r="E20" s="37">
        <v>94733.53</v>
      </c>
      <c r="F20" s="19"/>
    </row>
    <row r="21" spans="1:6" ht="28.8" x14ac:dyDescent="0.3">
      <c r="A21" s="44">
        <v>45884</v>
      </c>
      <c r="B21" s="36" t="s">
        <v>477</v>
      </c>
      <c r="C21" s="36" t="s">
        <v>24</v>
      </c>
      <c r="D21" s="36" t="s">
        <v>448</v>
      </c>
      <c r="E21" s="37">
        <v>30</v>
      </c>
      <c r="F21" s="19"/>
    </row>
    <row r="22" spans="1:6" x14ac:dyDescent="0.3">
      <c r="A22" s="44">
        <v>45884</v>
      </c>
      <c r="B22" s="36" t="s">
        <v>478</v>
      </c>
      <c r="C22" s="36" t="s">
        <v>133</v>
      </c>
      <c r="D22" s="36" t="s">
        <v>133</v>
      </c>
      <c r="E22" s="37">
        <v>1837479</v>
      </c>
      <c r="F22" s="19"/>
    </row>
    <row r="23" spans="1:6" ht="28.8" x14ac:dyDescent="0.3">
      <c r="A23" s="44">
        <v>45885</v>
      </c>
      <c r="B23" s="36" t="s">
        <v>479</v>
      </c>
      <c r="C23" s="36" t="s">
        <v>24</v>
      </c>
      <c r="D23" s="36" t="s">
        <v>448</v>
      </c>
      <c r="E23" s="37">
        <v>15</v>
      </c>
      <c r="F23" s="19"/>
    </row>
    <row r="24" spans="1:6" ht="28.8" x14ac:dyDescent="0.3">
      <c r="A24" s="44">
        <v>45885</v>
      </c>
      <c r="B24" s="29" t="s">
        <v>479</v>
      </c>
      <c r="C24" s="29" t="s">
        <v>24</v>
      </c>
      <c r="D24" s="29" t="s">
        <v>448</v>
      </c>
      <c r="E24" s="37">
        <v>1100</v>
      </c>
      <c r="F24" s="19"/>
    </row>
    <row r="25" spans="1:6" x14ac:dyDescent="0.3">
      <c r="A25" s="44">
        <v>45889</v>
      </c>
      <c r="B25" s="36" t="s">
        <v>480</v>
      </c>
      <c r="C25" s="36" t="s">
        <v>481</v>
      </c>
      <c r="D25" s="36" t="s">
        <v>482</v>
      </c>
      <c r="E25" s="37">
        <v>11137.02</v>
      </c>
      <c r="F25" s="19"/>
    </row>
    <row r="26" spans="1:6" ht="28.8" x14ac:dyDescent="0.3">
      <c r="A26" s="44">
        <v>45889</v>
      </c>
      <c r="B26" s="36" t="s">
        <v>483</v>
      </c>
      <c r="C26" s="36" t="s">
        <v>484</v>
      </c>
      <c r="D26" s="36" t="s">
        <v>485</v>
      </c>
      <c r="E26" s="37">
        <v>15000</v>
      </c>
      <c r="F26" s="19"/>
    </row>
    <row r="27" spans="1:6" x14ac:dyDescent="0.3">
      <c r="A27" s="44">
        <v>45889</v>
      </c>
      <c r="B27" s="36" t="s">
        <v>468</v>
      </c>
      <c r="C27" s="30" t="s">
        <v>486</v>
      </c>
      <c r="D27" s="30" t="s">
        <v>487</v>
      </c>
      <c r="E27" s="40">
        <v>18062</v>
      </c>
      <c r="F27" s="19"/>
    </row>
    <row r="28" spans="1:6" x14ac:dyDescent="0.3">
      <c r="A28" s="44">
        <v>45889</v>
      </c>
      <c r="B28" s="36" t="s">
        <v>468</v>
      </c>
      <c r="C28" s="30" t="s">
        <v>338</v>
      </c>
      <c r="D28" s="30" t="s">
        <v>488</v>
      </c>
      <c r="E28" s="40">
        <v>12699</v>
      </c>
      <c r="F28" s="19"/>
    </row>
    <row r="29" spans="1:6" x14ac:dyDescent="0.3">
      <c r="A29" s="44">
        <v>45889</v>
      </c>
      <c r="B29" s="36" t="s">
        <v>489</v>
      </c>
      <c r="C29" s="36" t="s">
        <v>490</v>
      </c>
      <c r="D29" s="36" t="s">
        <v>491</v>
      </c>
      <c r="E29" s="37">
        <v>2525</v>
      </c>
      <c r="F29" s="19"/>
    </row>
    <row r="30" spans="1:6" x14ac:dyDescent="0.3">
      <c r="A30" s="44">
        <v>45889</v>
      </c>
      <c r="B30" s="36" t="s">
        <v>492</v>
      </c>
      <c r="C30" s="36" t="s">
        <v>493</v>
      </c>
      <c r="D30" s="36" t="s">
        <v>494</v>
      </c>
      <c r="E30" s="37">
        <v>100025</v>
      </c>
      <c r="F30" s="19"/>
    </row>
    <row r="31" spans="1:6" ht="28.8" x14ac:dyDescent="0.3">
      <c r="A31" s="44">
        <v>45890</v>
      </c>
      <c r="B31" s="36" t="s">
        <v>495</v>
      </c>
      <c r="C31" s="36" t="s">
        <v>24</v>
      </c>
      <c r="D31" s="36" t="s">
        <v>448</v>
      </c>
      <c r="E31" s="37">
        <v>45</v>
      </c>
      <c r="F31" s="19"/>
    </row>
    <row r="32" spans="1:6" ht="28.8" x14ac:dyDescent="0.3">
      <c r="A32" s="44">
        <v>45890</v>
      </c>
      <c r="B32" s="36" t="s">
        <v>496</v>
      </c>
      <c r="C32" s="36" t="s">
        <v>484</v>
      </c>
      <c r="D32" s="36" t="s">
        <v>497</v>
      </c>
      <c r="E32" s="37">
        <v>449000</v>
      </c>
      <c r="F32" s="19"/>
    </row>
    <row r="33" spans="1:8" ht="28.8" x14ac:dyDescent="0.3">
      <c r="A33" s="44">
        <v>45891</v>
      </c>
      <c r="B33" s="36" t="s">
        <v>498</v>
      </c>
      <c r="C33" s="36" t="s">
        <v>24</v>
      </c>
      <c r="D33" s="36" t="s">
        <v>448</v>
      </c>
      <c r="E33" s="37">
        <v>15</v>
      </c>
      <c r="F33" s="19"/>
    </row>
    <row r="34" spans="1:8" x14ac:dyDescent="0.3">
      <c r="A34" s="44">
        <v>45896</v>
      </c>
      <c r="B34" s="36" t="s">
        <v>499</v>
      </c>
      <c r="C34" s="30" t="s">
        <v>404</v>
      </c>
      <c r="D34" s="30" t="s">
        <v>500</v>
      </c>
      <c r="E34" s="37">
        <v>25500</v>
      </c>
      <c r="F34" s="19"/>
    </row>
    <row r="35" spans="1:8" ht="28.8" x14ac:dyDescent="0.3">
      <c r="A35" s="44">
        <v>45896</v>
      </c>
      <c r="B35" s="36" t="s">
        <v>501</v>
      </c>
      <c r="C35" s="30" t="s">
        <v>404</v>
      </c>
      <c r="D35" s="41" t="s">
        <v>502</v>
      </c>
      <c r="E35" s="37">
        <v>12000</v>
      </c>
      <c r="F35" s="19"/>
    </row>
    <row r="36" spans="1:8" ht="28.8" x14ac:dyDescent="0.3">
      <c r="A36" s="44">
        <v>45896</v>
      </c>
      <c r="B36" s="36" t="s">
        <v>503</v>
      </c>
      <c r="C36" s="30" t="s">
        <v>504</v>
      </c>
      <c r="D36" s="41" t="s">
        <v>505</v>
      </c>
      <c r="E36" s="37">
        <v>5000</v>
      </c>
      <c r="F36" s="19"/>
    </row>
    <row r="37" spans="1:8" x14ac:dyDescent="0.3">
      <c r="A37" s="44">
        <v>45896</v>
      </c>
      <c r="B37" s="36" t="s">
        <v>506</v>
      </c>
      <c r="C37" s="36" t="s">
        <v>507</v>
      </c>
      <c r="D37" s="36" t="s">
        <v>508</v>
      </c>
      <c r="E37" s="37">
        <v>25000</v>
      </c>
      <c r="F37" s="19"/>
    </row>
    <row r="38" spans="1:8" ht="28.8" x14ac:dyDescent="0.3">
      <c r="A38" s="44">
        <v>45896</v>
      </c>
      <c r="B38" s="36" t="s">
        <v>509</v>
      </c>
      <c r="C38" s="36" t="s">
        <v>399</v>
      </c>
      <c r="D38" s="36" t="s">
        <v>510</v>
      </c>
      <c r="E38" s="37">
        <v>4812.1899999999996</v>
      </c>
      <c r="F38" s="19"/>
    </row>
    <row r="39" spans="1:8" ht="28.8" x14ac:dyDescent="0.3">
      <c r="A39" s="44">
        <v>45896</v>
      </c>
      <c r="B39" s="36" t="s">
        <v>511</v>
      </c>
      <c r="C39" s="36" t="s">
        <v>465</v>
      </c>
      <c r="D39" s="36" t="s">
        <v>512</v>
      </c>
      <c r="E39" s="37">
        <v>50025</v>
      </c>
      <c r="F39" s="19"/>
    </row>
    <row r="40" spans="1:8" ht="15" thickBot="1" x14ac:dyDescent="0.35">
      <c r="A40" s="46"/>
      <c r="B40" s="47"/>
      <c r="C40" s="47"/>
      <c r="D40" s="47"/>
      <c r="E40" s="48">
        <f>SUM(E5:E39)</f>
        <v>2953545.1799999997</v>
      </c>
      <c r="F40" s="49">
        <f>SUM(F2:F39)</f>
        <v>3119396.25</v>
      </c>
    </row>
    <row r="42" spans="1:8" x14ac:dyDescent="0.3">
      <c r="A42" s="16" t="s">
        <v>513</v>
      </c>
      <c r="B42" s="16"/>
      <c r="C42" s="16"/>
      <c r="D42" s="16"/>
      <c r="E42" s="42">
        <v>145624.82999999999</v>
      </c>
    </row>
    <row r="43" spans="1:8" x14ac:dyDescent="0.3">
      <c r="A43" s="16" t="s">
        <v>426</v>
      </c>
      <c r="B43" s="16"/>
      <c r="C43" s="16"/>
      <c r="D43" s="16"/>
      <c r="E43" s="43">
        <f>F40</f>
        <v>3119396.25</v>
      </c>
      <c r="F43" s="6">
        <f>E42+E43</f>
        <v>3265021.08</v>
      </c>
    </row>
    <row r="44" spans="1:8" x14ac:dyDescent="0.3">
      <c r="A44" s="16" t="s">
        <v>442</v>
      </c>
      <c r="B44" s="16"/>
      <c r="C44" s="16"/>
      <c r="D44" s="16"/>
      <c r="E44" s="43">
        <f>E40</f>
        <v>2953545.1799999997</v>
      </c>
    </row>
    <row r="45" spans="1:8" x14ac:dyDescent="0.3">
      <c r="A45" s="16" t="s">
        <v>514</v>
      </c>
      <c r="B45" s="16"/>
      <c r="C45" s="16"/>
      <c r="D45" s="16"/>
      <c r="E45" s="43">
        <f>F43-E44</f>
        <v>311475.90000000037</v>
      </c>
      <c r="G45" s="28"/>
      <c r="H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month full data</vt:lpstr>
      <vt:lpstr>JULY 2025</vt:lpstr>
      <vt:lpstr>AUG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Sameela Mirando|Purchasing Executive</dc:creator>
  <cp:lastModifiedBy>Sameela Mirando|Purchasing Executive</cp:lastModifiedBy>
  <dcterms:created xsi:type="dcterms:W3CDTF">2025-08-01T13:33:59Z</dcterms:created>
  <dcterms:modified xsi:type="dcterms:W3CDTF">2025-10-10T10:18:43Z</dcterms:modified>
</cp:coreProperties>
</file>