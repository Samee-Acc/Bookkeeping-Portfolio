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aquadyn-my.sharepoint.com/personal/sameela_aquadynamics_lk/Documents/porfolio/"/>
    </mc:Choice>
  </mc:AlternateContent>
  <xr:revisionPtr revIDLastSave="5" documentId="8_{BA202521-34C7-4E95-92B6-15E98675EAC2}" xr6:coauthVersionLast="47" xr6:coauthVersionMax="47" xr10:uidLastSave="{D749FC02-5DB0-42A6-B7BB-902217CD2CE9}"/>
  <bookViews>
    <workbookView xWindow="-120" yWindow="-120" windowWidth="20730" windowHeight="11160" xr2:uid="{00000000-000D-0000-FFFF-FFFF00000000}"/>
  </bookViews>
  <sheets>
    <sheet name="April - June 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1" l="1"/>
  <c r="V19" i="1" s="1"/>
  <c r="V20" i="1" s="1"/>
  <c r="V21" i="1" s="1"/>
  <c r="V22" i="1" s="1"/>
  <c r="V23" i="1" s="1"/>
  <c r="O18" i="1"/>
  <c r="O19" i="1" s="1"/>
  <c r="O20" i="1" s="1"/>
  <c r="O21" i="1" s="1"/>
  <c r="O22" i="1" s="1"/>
  <c r="G18" i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V48" i="1"/>
  <c r="V49" i="1" s="1"/>
  <c r="V50" i="1" s="1"/>
  <c r="V47" i="1"/>
  <c r="O47" i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G47" i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T5" i="1"/>
  <c r="T6" i="1" s="1"/>
  <c r="T7" i="1" s="1"/>
  <c r="T8" i="1" s="1"/>
  <c r="T9" i="1" s="1"/>
  <c r="M5" i="1"/>
  <c r="M6" i="1" s="1"/>
  <c r="M7" i="1" s="1"/>
  <c r="M8" i="1" s="1"/>
  <c r="M9" i="1" s="1"/>
  <c r="M10" i="1" s="1"/>
  <c r="F5" i="1"/>
  <c r="F6" i="1" s="1"/>
  <c r="F7" i="1" s="1"/>
  <c r="F8" i="1" s="1"/>
  <c r="F9" i="1" s="1"/>
</calcChain>
</file>

<file path=xl/sharedStrings.xml><?xml version="1.0" encoding="utf-8"?>
<sst xmlns="http://schemas.openxmlformats.org/spreadsheetml/2006/main" count="251" uniqueCount="137">
  <si>
    <t xml:space="preserve">SAVING : HKD </t>
  </si>
  <si>
    <t>@</t>
  </si>
  <si>
    <t>SAVING :USD</t>
  </si>
  <si>
    <t xml:space="preserve">Current : HKD </t>
  </si>
  <si>
    <t xml:space="preserve">Date </t>
  </si>
  <si>
    <t>Particular</t>
  </si>
  <si>
    <t>Description</t>
  </si>
  <si>
    <t>Deposit</t>
  </si>
  <si>
    <t>Withdrawal</t>
  </si>
  <si>
    <t>Balance</t>
  </si>
  <si>
    <t>Opening Balance</t>
  </si>
  <si>
    <t xml:space="preserve">From USD account </t>
  </si>
  <si>
    <t>TRF FROM USD1,292.94</t>
  </si>
  <si>
    <t>TRF TO HKD</t>
  </si>
  <si>
    <t>TRF TO HKD 10,000</t>
  </si>
  <si>
    <t>Cr to Show flat</t>
  </si>
  <si>
    <t>TRF TO CREDIT CARD</t>
  </si>
  <si>
    <t xml:space="preserve">TRF TO HKD </t>
  </si>
  <si>
    <t>TRF TO HKD 4,500</t>
  </si>
  <si>
    <t>Trf frm USD A/c</t>
  </si>
  <si>
    <t>USD 2638.01</t>
  </si>
  <si>
    <t>From USD account</t>
  </si>
  <si>
    <t>TRF FROM USD 581.85</t>
  </si>
  <si>
    <t>TRF TO HKD 20,400</t>
  </si>
  <si>
    <t>Cheque 005719</t>
  </si>
  <si>
    <t>Po Yick Building - Rent</t>
  </si>
  <si>
    <t>BIB- LINK PRO CPA</t>
  </si>
  <si>
    <t>Receipt 2020-024 IR65B HANDLING</t>
  </si>
  <si>
    <t>Supersonic</t>
  </si>
  <si>
    <t>Installation - NV19-0066 (Samyin Mequillet)</t>
  </si>
  <si>
    <t>Cr to HKD Current account</t>
  </si>
  <si>
    <t>Investment</t>
  </si>
  <si>
    <t>Trf frm HKD saving a/c</t>
  </si>
  <si>
    <t>Amar Dhillon</t>
  </si>
  <si>
    <t>Salary</t>
  </si>
  <si>
    <t>TALLY</t>
  </si>
  <si>
    <t>Current :HKD</t>
  </si>
  <si>
    <t>Voucher No.</t>
  </si>
  <si>
    <t>Openng Balance</t>
  </si>
  <si>
    <t>From Demaryo Labs ltd  USD</t>
  </si>
  <si>
    <t>Trf frm USD 30000</t>
  </si>
  <si>
    <t>Trf to HKD 232170</t>
  </si>
  <si>
    <t>AUDIT Confirmation</t>
  </si>
  <si>
    <t>5592403338007452</t>
  </si>
  <si>
    <t>Trf to CR CARD</t>
  </si>
  <si>
    <t>Installation - NV19-0068 - Samyin Mequillet</t>
  </si>
  <si>
    <t>Salaries</t>
  </si>
  <si>
    <t>Lucidtron</t>
  </si>
  <si>
    <t>Final Payment - SINVHK-19-00012</t>
  </si>
  <si>
    <t>Trf frm HKD  saving a/c</t>
  </si>
  <si>
    <t>APS Charges</t>
  </si>
  <si>
    <t>v2</t>
  </si>
  <si>
    <t>Firebase Work - QTNHK-20-00011</t>
  </si>
  <si>
    <t>Cheque 005707</t>
  </si>
  <si>
    <t>HSBC pro fund hk</t>
  </si>
  <si>
    <t>V1</t>
  </si>
  <si>
    <t>Support for HCP -SINVHK-20-00025</t>
  </si>
  <si>
    <t>Tally</t>
  </si>
  <si>
    <t>28-May</t>
  </si>
  <si>
    <t>Debit Interest</t>
  </si>
  <si>
    <t>V7</t>
  </si>
  <si>
    <t>Installation - NV19-0069 - Po Yick Building</t>
  </si>
  <si>
    <t>CR TO 404-620700-001</t>
  </si>
  <si>
    <t>Sweep to   hk current  a/c  hkd658.11</t>
  </si>
  <si>
    <t>Google Home</t>
  </si>
  <si>
    <t>CR TO 510-098502-833</t>
  </si>
  <si>
    <t>Amar personal a/c</t>
  </si>
  <si>
    <t>Trf. to CR CARD</t>
  </si>
  <si>
    <t>Charges</t>
  </si>
  <si>
    <t>Bank Charges</t>
  </si>
  <si>
    <t>Broadway Interiors</t>
  </si>
  <si>
    <t>V6</t>
  </si>
  <si>
    <t>Invoice 48211 - Ash Wayburne</t>
  </si>
  <si>
    <t>V5</t>
  </si>
  <si>
    <t>NV19-0074 - Installation - Ash Wayburne</t>
  </si>
  <si>
    <t>Henning Voss</t>
  </si>
  <si>
    <t>STS PYT -Stripe payment</t>
  </si>
  <si>
    <t>V4</t>
  </si>
  <si>
    <t>NV19-0076, NV19-0081 - Installation - Ash Wayburne</t>
  </si>
  <si>
    <t>Amar personal  a/c</t>
  </si>
  <si>
    <t>Stripe payment</t>
  </si>
  <si>
    <t>CR TO   404-620700-001</t>
  </si>
  <si>
    <t>Cr to HKD Current a/c</t>
  </si>
  <si>
    <t>HK ELECTRIC BILL</t>
  </si>
  <si>
    <t>PCCW NETVIGATOR</t>
  </si>
  <si>
    <t>Credit Interest</t>
  </si>
  <si>
    <t>v3</t>
  </si>
  <si>
    <t>NV19-0083 - Installation - Ash Wayburne</t>
  </si>
  <si>
    <t>Voucher NO.</t>
  </si>
  <si>
    <t>From Demaryo labs Gold /Exchange</t>
  </si>
  <si>
    <t>Trf frm  USD Account USD 10000</t>
  </si>
  <si>
    <t>Trf to   404-620700-838</t>
  </si>
  <si>
    <t>Trf to HKD Account HKD 77364.67</t>
  </si>
  <si>
    <t>Trf frm USD saving a/c</t>
  </si>
  <si>
    <t>USD   969.65</t>
  </si>
  <si>
    <t>Trf to   404-620700-839</t>
  </si>
  <si>
    <t>Trf to HKD Account HKD 7500</t>
  </si>
  <si>
    <t>Cr to John Zai</t>
  </si>
  <si>
    <t>Asiatic Limited</t>
  </si>
  <si>
    <t>99 Bonham - Rental Charges (Rugved Ambekar)</t>
  </si>
  <si>
    <t>Trf to   404-620700-840</t>
  </si>
  <si>
    <t>Trf to HKD Account HKD 4000</t>
  </si>
  <si>
    <t>Expense</t>
  </si>
  <si>
    <t>Cheque 005720</t>
  </si>
  <si>
    <t>V9</t>
  </si>
  <si>
    <t>New Beginnings - Invoice 2020053001</t>
  </si>
  <si>
    <t>5592-4033-3800-7452</t>
  </si>
  <si>
    <t>CR TO credit card</t>
  </si>
  <si>
    <t>Willwong</t>
  </si>
  <si>
    <t>V12</t>
  </si>
  <si>
    <t>Invoice WW20-015</t>
  </si>
  <si>
    <t>510-098502-833</t>
  </si>
  <si>
    <t>Amar - Salary</t>
  </si>
  <si>
    <t>Trf to HKD Account HKD 25000</t>
  </si>
  <si>
    <t>From Demaryo Labs Gold/Exchange</t>
  </si>
  <si>
    <t>Trf frm USD Account USD 517.15</t>
  </si>
  <si>
    <t>V10</t>
  </si>
  <si>
    <t>Invoice SINVHK-20-00041</t>
  </si>
  <si>
    <t xml:space="preserve">HSBC Pro Fund </t>
  </si>
  <si>
    <t>Rugved - Salary</t>
  </si>
  <si>
    <t>Trf frm USD Account</t>
  </si>
  <si>
    <t>Fu Cheuk Kei</t>
  </si>
  <si>
    <t>Revenue - Frederick Fu</t>
  </si>
  <si>
    <t>Trf to   404-620700-001</t>
  </si>
  <si>
    <t>Trf to HKD Current Account</t>
  </si>
  <si>
    <t>v8</t>
  </si>
  <si>
    <t>Systematix Limited - Setup for Google Ads</t>
  </si>
  <si>
    <t>V14</t>
  </si>
  <si>
    <t>Installation - Caperidge &amp; Glamour Court</t>
  </si>
  <si>
    <t>Linkpro CPA</t>
  </si>
  <si>
    <t>V11</t>
  </si>
  <si>
    <t>Professional Services - Taxation</t>
  </si>
  <si>
    <t>Aloft Engineering Limited</t>
  </si>
  <si>
    <t>V13</t>
  </si>
  <si>
    <t>Y20-AE-INV-107_r0, Y20-AE-INV-105-r0</t>
  </si>
  <si>
    <t>Cheque Deposit</t>
  </si>
  <si>
    <t>Revenue - JS Dhillon (Marine 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</si>
</sst>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\-mmmm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0" xfId="0" applyFont="1" applyFill="1"/>
    <xf numFmtId="0" fontId="4" fillId="0" borderId="4" xfId="0" applyFont="1" applyBorder="1"/>
    <xf numFmtId="164" fontId="4" fillId="0" borderId="4" xfId="0" applyNumberFormat="1" applyFont="1" applyBorder="1"/>
    <xf numFmtId="0" fontId="3" fillId="0" borderId="4" xfId="0" applyFont="1" applyBorder="1"/>
    <xf numFmtId="164" fontId="3" fillId="0" borderId="4" xfId="0" applyNumberFormat="1" applyFont="1" applyBorder="1"/>
    <xf numFmtId="165" fontId="4" fillId="0" borderId="4" xfId="0" applyNumberFormat="1" applyFont="1" applyBorder="1"/>
    <xf numFmtId="165" fontId="3" fillId="0" borderId="4" xfId="0" applyNumberFormat="1" applyFont="1" applyBorder="1"/>
    <xf numFmtId="165" fontId="3" fillId="3" borderId="4" xfId="0" applyNumberFormat="1" applyFont="1" applyFill="1" applyBorder="1"/>
    <xf numFmtId="0" fontId="3" fillId="3" borderId="4" xfId="0" applyFont="1" applyFill="1" applyBorder="1"/>
    <xf numFmtId="164" fontId="3" fillId="3" borderId="4" xfId="0" applyNumberFormat="1" applyFont="1" applyFill="1" applyBorder="1"/>
    <xf numFmtId="165" fontId="4" fillId="4" borderId="4" xfId="0" applyNumberFormat="1" applyFont="1" applyFill="1" applyBorder="1"/>
    <xf numFmtId="0" fontId="4" fillId="4" borderId="4" xfId="0" applyFont="1" applyFill="1" applyBorder="1"/>
    <xf numFmtId="164" fontId="4" fillId="4" borderId="4" xfId="0" applyNumberFormat="1" applyFont="1" applyFill="1" applyBorder="1"/>
    <xf numFmtId="0" fontId="3" fillId="4" borderId="4" xfId="0" applyFont="1" applyFill="1" applyBorder="1"/>
    <xf numFmtId="164" fontId="3" fillId="4" borderId="4" xfId="0" applyNumberFormat="1" applyFont="1" applyFill="1" applyBorder="1"/>
    <xf numFmtId="0" fontId="3" fillId="0" borderId="0" xfId="0" applyFont="1"/>
    <xf numFmtId="165" fontId="3" fillId="4" borderId="4" xfId="0" applyNumberFormat="1" applyFont="1" applyFill="1" applyBorder="1"/>
    <xf numFmtId="165" fontId="3" fillId="4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164" fontId="3" fillId="0" borderId="0" xfId="0" applyNumberFormat="1" applyFont="1"/>
    <xf numFmtId="165" fontId="3" fillId="0" borderId="0" xfId="0" applyNumberFormat="1" applyFont="1"/>
    <xf numFmtId="0" fontId="3" fillId="2" borderId="4" xfId="0" applyFont="1" applyFill="1" applyBorder="1"/>
    <xf numFmtId="0" fontId="1" fillId="0" borderId="0" xfId="0" applyFont="1" applyAlignment="1">
      <alignment horizontal="center"/>
    </xf>
    <xf numFmtId="0" fontId="4" fillId="4" borderId="4" xfId="0" applyFont="1" applyFill="1" applyBorder="1" applyAlignment="1">
      <alignment wrapText="1"/>
    </xf>
    <xf numFmtId="164" fontId="3" fillId="2" borderId="4" xfId="0" applyNumberFormat="1" applyFont="1" applyFill="1" applyBorder="1"/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974"/>
  <sheetViews>
    <sheetView tabSelected="1" topLeftCell="A76" workbookViewId="0">
      <selection activeCell="A41" sqref="A13:XFD41"/>
    </sheetView>
  </sheetViews>
  <sheetFormatPr defaultColWidth="12.5703125" defaultRowHeight="15.75" customHeight="1" x14ac:dyDescent="0.2"/>
  <cols>
    <col min="1" max="1" width="14.140625" customWidth="1"/>
    <col min="2" max="2" width="24.28515625" customWidth="1"/>
    <col min="3" max="3" width="19.5703125" customWidth="1"/>
    <col min="9" max="9" width="18.7109375" customWidth="1"/>
    <col min="10" max="10" width="15.7109375" customWidth="1"/>
    <col min="16" max="16" width="17.42578125" customWidth="1"/>
    <col min="17" max="17" width="16.140625" customWidth="1"/>
  </cols>
  <sheetData>
    <row r="1" spans="1:22" x14ac:dyDescent="0.2">
      <c r="A1" s="30" t="s">
        <v>0</v>
      </c>
      <c r="B1" s="31"/>
      <c r="C1" s="31"/>
      <c r="D1" s="31"/>
      <c r="E1" s="31"/>
      <c r="F1" s="32"/>
      <c r="G1" s="1" t="s">
        <v>1</v>
      </c>
      <c r="H1" s="30" t="s">
        <v>2</v>
      </c>
      <c r="I1" s="31"/>
      <c r="J1" s="31"/>
      <c r="K1" s="31"/>
      <c r="L1" s="31"/>
      <c r="M1" s="32"/>
      <c r="O1" s="30" t="s">
        <v>3</v>
      </c>
      <c r="P1" s="31"/>
      <c r="Q1" s="31"/>
      <c r="R1" s="31"/>
      <c r="S1" s="31"/>
      <c r="T1" s="32"/>
    </row>
    <row r="2" spans="1:22" x14ac:dyDescent="0.2">
      <c r="A2" s="2" t="s">
        <v>4</v>
      </c>
      <c r="B2" s="2" t="s">
        <v>5</v>
      </c>
      <c r="C2" s="2" t="s">
        <v>6</v>
      </c>
      <c r="D2" s="3" t="s">
        <v>7</v>
      </c>
      <c r="E2" s="3" t="s">
        <v>8</v>
      </c>
      <c r="F2" s="2" t="s">
        <v>9</v>
      </c>
      <c r="H2" s="4" t="s">
        <v>4</v>
      </c>
      <c r="I2" s="4" t="s">
        <v>5</v>
      </c>
      <c r="J2" s="4" t="s">
        <v>6</v>
      </c>
      <c r="K2" s="5" t="s">
        <v>7</v>
      </c>
      <c r="L2" s="5" t="s">
        <v>8</v>
      </c>
      <c r="M2" s="5" t="s">
        <v>9</v>
      </c>
      <c r="O2" s="4" t="s">
        <v>4</v>
      </c>
      <c r="P2" s="4" t="s">
        <v>5</v>
      </c>
      <c r="Q2" s="4" t="s">
        <v>6</v>
      </c>
      <c r="R2" s="5" t="s">
        <v>7</v>
      </c>
      <c r="S2" s="5" t="s">
        <v>8</v>
      </c>
      <c r="T2" s="5" t="s">
        <v>9</v>
      </c>
    </row>
    <row r="3" spans="1:22" x14ac:dyDescent="0.2">
      <c r="A3" s="2"/>
      <c r="B3" s="2"/>
      <c r="C3" s="2"/>
      <c r="D3" s="3"/>
      <c r="E3" s="3"/>
      <c r="F3" s="2"/>
      <c r="H3" s="4"/>
      <c r="I3" s="4"/>
      <c r="J3" s="4"/>
      <c r="K3" s="5"/>
      <c r="L3" s="5"/>
      <c r="M3" s="5"/>
      <c r="O3" s="4"/>
      <c r="P3" s="4"/>
      <c r="Q3" s="4"/>
      <c r="R3" s="5"/>
      <c r="S3" s="5"/>
      <c r="T3" s="5"/>
    </row>
    <row r="4" spans="1:22" x14ac:dyDescent="0.2">
      <c r="A4" s="6">
        <v>44652</v>
      </c>
      <c r="B4" s="2" t="s">
        <v>10</v>
      </c>
      <c r="C4" s="2"/>
      <c r="D4" s="3"/>
      <c r="E4" s="3"/>
      <c r="F4" s="3">
        <v>642.35</v>
      </c>
      <c r="H4" s="6">
        <v>44652</v>
      </c>
      <c r="I4" s="2" t="s">
        <v>10</v>
      </c>
      <c r="J4" s="2"/>
      <c r="K4" s="3"/>
      <c r="L4" s="3"/>
      <c r="M4" s="3">
        <v>4862.33</v>
      </c>
      <c r="O4" s="7">
        <v>44652</v>
      </c>
      <c r="P4" s="4" t="s">
        <v>10</v>
      </c>
      <c r="Q4" s="4"/>
      <c r="R4" s="5"/>
      <c r="S4" s="5"/>
      <c r="T4" s="5">
        <v>7141.89</v>
      </c>
    </row>
    <row r="5" spans="1:22" x14ac:dyDescent="0.2">
      <c r="A5" s="6">
        <v>44652</v>
      </c>
      <c r="B5" s="2" t="s">
        <v>11</v>
      </c>
      <c r="C5" s="2" t="s">
        <v>12</v>
      </c>
      <c r="D5" s="3">
        <v>10000</v>
      </c>
      <c r="E5" s="3"/>
      <c r="F5" s="3">
        <f t="shared" ref="F5:F9" si="0">F4+D5-E5</f>
        <v>10642.35</v>
      </c>
      <c r="H5" s="6">
        <v>44652</v>
      </c>
      <c r="I5" s="2" t="s">
        <v>13</v>
      </c>
      <c r="J5" s="2" t="s">
        <v>14</v>
      </c>
      <c r="K5" s="3"/>
      <c r="L5" s="3">
        <v>1292.94</v>
      </c>
      <c r="M5" s="3">
        <f t="shared" ref="M5:M10" si="1">M4+K5-L5</f>
        <v>3569.39</v>
      </c>
      <c r="O5" s="8">
        <v>44665</v>
      </c>
      <c r="P5" s="9" t="s">
        <v>15</v>
      </c>
      <c r="Q5" s="9"/>
      <c r="R5" s="10"/>
      <c r="S5" s="10">
        <v>4500</v>
      </c>
      <c r="T5" s="10">
        <f t="shared" ref="T5:T9" si="2">T4+R5-S5</f>
        <v>2641.8900000000003</v>
      </c>
    </row>
    <row r="6" spans="1:22" x14ac:dyDescent="0.2">
      <c r="A6" s="2"/>
      <c r="B6" s="2" t="s">
        <v>16</v>
      </c>
      <c r="C6" s="2"/>
      <c r="D6" s="3"/>
      <c r="E6" s="3">
        <v>10000</v>
      </c>
      <c r="F6" s="3">
        <f t="shared" si="0"/>
        <v>642.35000000000036</v>
      </c>
      <c r="H6" s="6">
        <v>44665</v>
      </c>
      <c r="I6" s="2" t="s">
        <v>17</v>
      </c>
      <c r="J6" s="2" t="s">
        <v>18</v>
      </c>
      <c r="K6" s="3"/>
      <c r="L6" s="3">
        <v>581.85</v>
      </c>
      <c r="M6" s="3">
        <f t="shared" si="1"/>
        <v>2987.54</v>
      </c>
      <c r="O6" s="6">
        <v>44671</v>
      </c>
      <c r="P6" s="2" t="s">
        <v>19</v>
      </c>
      <c r="Q6" s="2" t="s">
        <v>20</v>
      </c>
      <c r="R6" s="3">
        <v>20400</v>
      </c>
      <c r="S6" s="3"/>
      <c r="T6" s="3">
        <f t="shared" si="2"/>
        <v>23041.89</v>
      </c>
    </row>
    <row r="7" spans="1:22" x14ac:dyDescent="0.2">
      <c r="A7" s="6">
        <v>44665</v>
      </c>
      <c r="B7" s="2" t="s">
        <v>21</v>
      </c>
      <c r="C7" s="2" t="s">
        <v>22</v>
      </c>
      <c r="D7" s="3">
        <v>4500</v>
      </c>
      <c r="E7" s="3"/>
      <c r="F7" s="3">
        <f t="shared" si="0"/>
        <v>5142.3500000000004</v>
      </c>
      <c r="H7" s="6">
        <v>44671</v>
      </c>
      <c r="I7" s="2" t="s">
        <v>17</v>
      </c>
      <c r="J7" s="2" t="s">
        <v>23</v>
      </c>
      <c r="K7" s="3"/>
      <c r="L7" s="3">
        <v>2638.01</v>
      </c>
      <c r="M7" s="3">
        <f t="shared" si="1"/>
        <v>349.52999999999975</v>
      </c>
      <c r="O7" s="6">
        <v>44673</v>
      </c>
      <c r="P7" s="2" t="s">
        <v>24</v>
      </c>
      <c r="Q7" s="2" t="s">
        <v>25</v>
      </c>
      <c r="R7" s="3"/>
      <c r="S7" s="3">
        <v>20400</v>
      </c>
      <c r="T7" s="3">
        <f t="shared" si="2"/>
        <v>2641.8899999999994</v>
      </c>
    </row>
    <row r="8" spans="1:22" x14ac:dyDescent="0.2">
      <c r="A8" s="2"/>
      <c r="B8" s="2" t="s">
        <v>16</v>
      </c>
      <c r="C8" s="2"/>
      <c r="D8" s="3"/>
      <c r="E8" s="3">
        <v>5000</v>
      </c>
      <c r="F8" s="3">
        <f t="shared" si="0"/>
        <v>142.35000000000036</v>
      </c>
      <c r="H8" s="6">
        <v>44673</v>
      </c>
      <c r="I8" s="2" t="s">
        <v>26</v>
      </c>
      <c r="J8" s="2" t="s">
        <v>27</v>
      </c>
      <c r="K8" s="3"/>
      <c r="L8" s="3">
        <v>193.97</v>
      </c>
      <c r="M8" s="3">
        <f t="shared" si="1"/>
        <v>155.55999999999975</v>
      </c>
      <c r="O8" s="6"/>
      <c r="P8" s="2" t="s">
        <v>28</v>
      </c>
      <c r="Q8" s="2" t="s">
        <v>29</v>
      </c>
      <c r="R8" s="3"/>
      <c r="S8" s="3">
        <v>2750</v>
      </c>
      <c r="T8" s="3">
        <f t="shared" si="2"/>
        <v>-108.11000000000058</v>
      </c>
    </row>
    <row r="9" spans="1:22" x14ac:dyDescent="0.2">
      <c r="A9" s="11">
        <v>44673</v>
      </c>
      <c r="B9" s="12" t="s">
        <v>30</v>
      </c>
      <c r="C9" s="12"/>
      <c r="D9" s="13"/>
      <c r="E9" s="13">
        <v>110</v>
      </c>
      <c r="F9" s="3">
        <f t="shared" si="0"/>
        <v>32.350000000000364</v>
      </c>
      <c r="H9" s="6">
        <v>44674</v>
      </c>
      <c r="I9" s="2" t="s">
        <v>7</v>
      </c>
      <c r="J9" s="2" t="s">
        <v>31</v>
      </c>
      <c r="K9" s="3">
        <v>69972.31</v>
      </c>
      <c r="L9" s="3"/>
      <c r="M9" s="3">
        <f t="shared" si="1"/>
        <v>70127.87</v>
      </c>
      <c r="O9" s="7"/>
      <c r="P9" s="4" t="s">
        <v>32</v>
      </c>
      <c r="Q9" s="4"/>
      <c r="R9" s="5">
        <v>110</v>
      </c>
      <c r="S9" s="5"/>
      <c r="T9" s="5">
        <f t="shared" si="2"/>
        <v>1.8899999999994179</v>
      </c>
    </row>
    <row r="10" spans="1:22" x14ac:dyDescent="0.2">
      <c r="A10" s="14"/>
      <c r="B10" s="4"/>
      <c r="C10" s="14"/>
      <c r="D10" s="15"/>
      <c r="E10" s="15"/>
      <c r="F10" s="4"/>
      <c r="H10" s="11">
        <v>44674</v>
      </c>
      <c r="I10" s="12" t="s">
        <v>33</v>
      </c>
      <c r="J10" s="12" t="s">
        <v>34</v>
      </c>
      <c r="K10" s="13"/>
      <c r="L10" s="13">
        <v>3620.7</v>
      </c>
      <c r="M10" s="3">
        <f t="shared" si="1"/>
        <v>66507.17</v>
      </c>
      <c r="N10" s="16" t="s">
        <v>35</v>
      </c>
      <c r="O10" s="17"/>
      <c r="P10" s="14"/>
      <c r="Q10" s="14"/>
      <c r="R10" s="15"/>
      <c r="S10" s="15"/>
      <c r="T10" s="5"/>
    </row>
    <row r="11" spans="1:22" x14ac:dyDescent="0.2">
      <c r="H11" s="14"/>
      <c r="I11" s="14"/>
      <c r="J11" s="14"/>
      <c r="K11" s="15"/>
      <c r="L11" s="15"/>
      <c r="M11" s="5"/>
      <c r="O11" s="14"/>
      <c r="P11" s="14"/>
      <c r="Q11" s="14"/>
      <c r="R11" s="15"/>
      <c r="S11" s="15"/>
      <c r="T11" s="5"/>
    </row>
    <row r="12" spans="1:22" x14ac:dyDescent="0.2">
      <c r="A12" s="18"/>
      <c r="B12" s="19"/>
      <c r="C12" s="19"/>
      <c r="D12" s="20"/>
      <c r="E12" s="20"/>
      <c r="M12" s="21"/>
    </row>
    <row r="13" spans="1:22" x14ac:dyDescent="0.2">
      <c r="D13" s="21"/>
      <c r="E13" s="21"/>
      <c r="M13" s="21"/>
    </row>
    <row r="14" spans="1:22" x14ac:dyDescent="0.2">
      <c r="A14" s="30" t="s">
        <v>0</v>
      </c>
      <c r="B14" s="31"/>
      <c r="C14" s="31"/>
      <c r="D14" s="31"/>
      <c r="E14" s="31"/>
      <c r="F14" s="32"/>
      <c r="G14" s="23"/>
      <c r="H14" s="24"/>
      <c r="I14" s="30" t="s">
        <v>2</v>
      </c>
      <c r="J14" s="31"/>
      <c r="K14" s="31"/>
      <c r="L14" s="31"/>
      <c r="M14" s="31"/>
      <c r="N14" s="32"/>
      <c r="O14" s="4"/>
      <c r="Q14" s="30" t="s">
        <v>36</v>
      </c>
      <c r="R14" s="31"/>
      <c r="S14" s="31"/>
      <c r="T14" s="31"/>
      <c r="U14" s="31"/>
      <c r="V14" s="32"/>
    </row>
    <row r="15" spans="1:22" x14ac:dyDescent="0.2">
      <c r="A15" s="4" t="s">
        <v>4</v>
      </c>
      <c r="B15" s="4" t="s">
        <v>5</v>
      </c>
      <c r="C15" s="4" t="s">
        <v>37</v>
      </c>
      <c r="D15" s="4" t="s">
        <v>6</v>
      </c>
      <c r="E15" s="5" t="s">
        <v>7</v>
      </c>
      <c r="F15" s="5" t="s">
        <v>8</v>
      </c>
      <c r="G15" s="4" t="s">
        <v>9</v>
      </c>
      <c r="H15" s="16"/>
      <c r="I15" s="4" t="s">
        <v>4</v>
      </c>
      <c r="J15" s="4" t="s">
        <v>5</v>
      </c>
      <c r="K15" s="4" t="s">
        <v>37</v>
      </c>
      <c r="L15" s="4" t="s">
        <v>6</v>
      </c>
      <c r="M15" s="5" t="s">
        <v>7</v>
      </c>
      <c r="N15" s="5" t="s">
        <v>8</v>
      </c>
      <c r="O15" s="4" t="s">
        <v>9</v>
      </c>
      <c r="Q15" s="4" t="s">
        <v>4</v>
      </c>
      <c r="R15" s="4" t="s">
        <v>5</v>
      </c>
      <c r="S15" s="4" t="s">
        <v>6</v>
      </c>
      <c r="T15" s="5" t="s">
        <v>7</v>
      </c>
      <c r="U15" s="5" t="s">
        <v>8</v>
      </c>
      <c r="V15" s="4" t="s">
        <v>9</v>
      </c>
    </row>
    <row r="16" spans="1:22" x14ac:dyDescent="0.2">
      <c r="A16" s="4"/>
      <c r="B16" s="4"/>
      <c r="C16" s="4"/>
      <c r="D16" s="4"/>
      <c r="E16" s="5"/>
      <c r="F16" s="5"/>
      <c r="G16" s="4"/>
      <c r="H16" s="16"/>
      <c r="I16" s="4"/>
      <c r="J16" s="4"/>
      <c r="K16" s="4"/>
      <c r="L16" s="4"/>
      <c r="M16" s="5"/>
      <c r="N16" s="5"/>
      <c r="O16" s="4"/>
      <c r="Q16" s="4"/>
      <c r="R16" s="4"/>
      <c r="S16" s="4"/>
      <c r="T16" s="5"/>
      <c r="U16" s="5"/>
      <c r="V16" s="4"/>
    </row>
    <row r="17" spans="1:22" x14ac:dyDescent="0.2">
      <c r="A17" s="6">
        <v>44682</v>
      </c>
      <c r="B17" s="2" t="s">
        <v>38</v>
      </c>
      <c r="C17" s="2"/>
      <c r="D17" s="2"/>
      <c r="E17" s="3"/>
      <c r="F17" s="3"/>
      <c r="G17" s="2">
        <v>32.35</v>
      </c>
      <c r="H17" s="16"/>
      <c r="I17" s="6">
        <v>44682</v>
      </c>
      <c r="J17" s="2" t="s">
        <v>10</v>
      </c>
      <c r="K17" s="2"/>
      <c r="L17" s="2"/>
      <c r="M17" s="3"/>
      <c r="N17" s="3"/>
      <c r="O17" s="3">
        <v>66507.17</v>
      </c>
      <c r="Q17" s="6">
        <v>44682</v>
      </c>
      <c r="R17" s="2" t="s">
        <v>10</v>
      </c>
      <c r="S17" s="2"/>
      <c r="T17" s="3"/>
      <c r="U17" s="3"/>
      <c r="V17" s="3">
        <v>1.89</v>
      </c>
    </row>
    <row r="18" spans="1:22" x14ac:dyDescent="0.2">
      <c r="A18" s="6">
        <v>44683</v>
      </c>
      <c r="B18" s="2" t="s">
        <v>39</v>
      </c>
      <c r="C18" s="2"/>
      <c r="D18" s="2" t="s">
        <v>40</v>
      </c>
      <c r="E18" s="3">
        <v>232170</v>
      </c>
      <c r="F18" s="3"/>
      <c r="G18" s="3">
        <f t="shared" ref="G18:G42" si="3">G17+E18-F18</f>
        <v>232202.35</v>
      </c>
      <c r="H18" s="22"/>
      <c r="I18" s="6">
        <v>44683</v>
      </c>
      <c r="J18" s="2" t="s">
        <v>39</v>
      </c>
      <c r="K18" s="2"/>
      <c r="L18" s="2" t="s">
        <v>41</v>
      </c>
      <c r="M18" s="3"/>
      <c r="N18" s="3">
        <v>30000</v>
      </c>
      <c r="O18" s="3">
        <f t="shared" ref="O18:O22" si="4">O17+M18-N18</f>
        <v>36507.17</v>
      </c>
      <c r="Q18" s="6">
        <v>44687</v>
      </c>
      <c r="R18" s="2" t="s">
        <v>42</v>
      </c>
      <c r="S18" s="2"/>
      <c r="T18" s="3"/>
      <c r="U18" s="3">
        <v>660</v>
      </c>
      <c r="V18" s="3">
        <f t="shared" ref="V18:V23" si="5">V17+T18-U18</f>
        <v>-658.11</v>
      </c>
    </row>
    <row r="19" spans="1:22" x14ac:dyDescent="0.2">
      <c r="A19" s="6">
        <v>44683</v>
      </c>
      <c r="B19" s="2" t="s">
        <v>43</v>
      </c>
      <c r="C19" s="2"/>
      <c r="D19" s="2" t="s">
        <v>44</v>
      </c>
      <c r="E19" s="3"/>
      <c r="F19" s="3">
        <v>10000</v>
      </c>
      <c r="G19" s="3">
        <f t="shared" si="3"/>
        <v>222202.35</v>
      </c>
      <c r="H19" s="22"/>
      <c r="I19" s="6">
        <v>44683</v>
      </c>
      <c r="J19" s="2" t="s">
        <v>28</v>
      </c>
      <c r="K19" s="2"/>
      <c r="L19" s="2" t="s">
        <v>45</v>
      </c>
      <c r="M19" s="3"/>
      <c r="N19" s="3">
        <v>142.22</v>
      </c>
      <c r="O19" s="3">
        <f t="shared" si="4"/>
        <v>36364.949999999997</v>
      </c>
      <c r="Q19" s="6">
        <v>44688</v>
      </c>
      <c r="R19" s="2" t="s">
        <v>32</v>
      </c>
      <c r="S19" s="2"/>
      <c r="T19" s="3">
        <v>658.11</v>
      </c>
      <c r="U19" s="3"/>
      <c r="V19" s="3">
        <f t="shared" si="5"/>
        <v>0</v>
      </c>
    </row>
    <row r="20" spans="1:22" x14ac:dyDescent="0.2">
      <c r="A20" s="6">
        <v>44685</v>
      </c>
      <c r="B20" s="2" t="s">
        <v>46</v>
      </c>
      <c r="C20" s="2"/>
      <c r="D20" s="2"/>
      <c r="E20" s="3"/>
      <c r="F20" s="3">
        <v>77000</v>
      </c>
      <c r="G20" s="3">
        <f t="shared" si="3"/>
        <v>145202.35</v>
      </c>
      <c r="H20" s="22"/>
      <c r="I20" s="6">
        <v>44685</v>
      </c>
      <c r="J20" s="2" t="s">
        <v>47</v>
      </c>
      <c r="K20" s="2"/>
      <c r="L20" s="2" t="s">
        <v>48</v>
      </c>
      <c r="M20" s="3"/>
      <c r="N20" s="3">
        <v>10000</v>
      </c>
      <c r="O20" s="3">
        <f t="shared" si="4"/>
        <v>26364.949999999997</v>
      </c>
      <c r="Q20" s="6">
        <v>44707</v>
      </c>
      <c r="R20" s="2" t="s">
        <v>49</v>
      </c>
      <c r="S20" s="2"/>
      <c r="T20" s="3">
        <v>20000</v>
      </c>
      <c r="U20" s="3"/>
      <c r="V20" s="3">
        <f t="shared" si="5"/>
        <v>20000</v>
      </c>
    </row>
    <row r="21" spans="1:22" x14ac:dyDescent="0.2">
      <c r="A21" s="6">
        <v>44686</v>
      </c>
      <c r="B21" s="2" t="s">
        <v>50</v>
      </c>
      <c r="C21" s="2"/>
      <c r="D21" s="2" t="s">
        <v>46</v>
      </c>
      <c r="E21" s="3"/>
      <c r="F21" s="3">
        <v>1.95</v>
      </c>
      <c r="G21" s="3">
        <f t="shared" si="3"/>
        <v>145200.4</v>
      </c>
      <c r="H21" s="22"/>
      <c r="I21" s="6">
        <v>44689</v>
      </c>
      <c r="J21" s="2" t="s">
        <v>47</v>
      </c>
      <c r="K21" s="2" t="s">
        <v>51</v>
      </c>
      <c r="L21" s="2" t="s">
        <v>52</v>
      </c>
      <c r="M21" s="3"/>
      <c r="N21" s="3">
        <v>960</v>
      </c>
      <c r="O21" s="3">
        <f t="shared" si="4"/>
        <v>25404.949999999997</v>
      </c>
      <c r="Q21" s="7">
        <v>44708</v>
      </c>
      <c r="R21" s="9" t="s">
        <v>53</v>
      </c>
      <c r="S21" s="9"/>
      <c r="T21" s="10"/>
      <c r="U21" s="10">
        <v>20000</v>
      </c>
      <c r="V21" s="10">
        <f t="shared" si="5"/>
        <v>0</v>
      </c>
    </row>
    <row r="22" spans="1:22" x14ac:dyDescent="0.2">
      <c r="A22" s="6">
        <v>44686</v>
      </c>
      <c r="B22" s="2" t="s">
        <v>54</v>
      </c>
      <c r="C22" s="2"/>
      <c r="D22" s="2"/>
      <c r="E22" s="3"/>
      <c r="F22" s="3">
        <v>12000</v>
      </c>
      <c r="G22" s="3">
        <f t="shared" si="3"/>
        <v>133200.4</v>
      </c>
      <c r="H22" s="22"/>
      <c r="I22" s="6">
        <v>44703</v>
      </c>
      <c r="J22" s="2" t="s">
        <v>47</v>
      </c>
      <c r="K22" s="2" t="s">
        <v>55</v>
      </c>
      <c r="L22" s="2" t="s">
        <v>56</v>
      </c>
      <c r="M22" s="3"/>
      <c r="N22" s="3">
        <v>1520</v>
      </c>
      <c r="O22" s="3">
        <f t="shared" si="4"/>
        <v>23884.949999999997</v>
      </c>
      <c r="P22" s="16" t="s">
        <v>57</v>
      </c>
      <c r="Q22" s="6" t="s">
        <v>58</v>
      </c>
      <c r="R22" s="2" t="s">
        <v>59</v>
      </c>
      <c r="S22" s="2"/>
      <c r="T22" s="3"/>
      <c r="U22" s="3">
        <v>0.17</v>
      </c>
      <c r="V22" s="3">
        <f t="shared" si="5"/>
        <v>-0.17</v>
      </c>
    </row>
    <row r="23" spans="1:22" x14ac:dyDescent="0.2">
      <c r="A23" s="11">
        <v>44687</v>
      </c>
      <c r="B23" s="12" t="s">
        <v>28</v>
      </c>
      <c r="C23" s="12" t="s">
        <v>60</v>
      </c>
      <c r="D23" s="12" t="s">
        <v>61</v>
      </c>
      <c r="E23" s="13"/>
      <c r="F23" s="13">
        <v>4000</v>
      </c>
      <c r="G23" s="3">
        <f t="shared" si="3"/>
        <v>129200.4</v>
      </c>
      <c r="H23" s="19"/>
      <c r="I23" s="14"/>
      <c r="J23" s="14"/>
      <c r="K23" s="14"/>
      <c r="L23" s="14"/>
      <c r="M23" s="15"/>
      <c r="N23" s="15"/>
      <c r="O23" s="4"/>
      <c r="Q23" s="11">
        <v>44710</v>
      </c>
      <c r="R23" s="12" t="s">
        <v>32</v>
      </c>
      <c r="S23" s="12"/>
      <c r="T23" s="13">
        <v>0.17</v>
      </c>
      <c r="U23" s="13"/>
      <c r="V23" s="3">
        <f t="shared" si="5"/>
        <v>0</v>
      </c>
    </row>
    <row r="24" spans="1:22" x14ac:dyDescent="0.2">
      <c r="A24" s="11">
        <v>44688</v>
      </c>
      <c r="B24" s="12" t="s">
        <v>62</v>
      </c>
      <c r="C24" s="25"/>
      <c r="D24" s="25" t="s">
        <v>63</v>
      </c>
      <c r="E24" s="13"/>
      <c r="F24" s="13">
        <v>658.11</v>
      </c>
      <c r="G24" s="3">
        <f t="shared" si="3"/>
        <v>128542.29</v>
      </c>
      <c r="H24" s="19"/>
      <c r="I24" s="14"/>
      <c r="J24" s="14"/>
      <c r="K24" s="14"/>
      <c r="L24" s="14"/>
      <c r="M24" s="15"/>
      <c r="N24" s="15"/>
      <c r="O24" s="4"/>
      <c r="Q24" s="14"/>
      <c r="R24" s="14"/>
      <c r="S24" s="14"/>
      <c r="T24" s="15"/>
      <c r="U24" s="15"/>
      <c r="V24" s="4"/>
    </row>
    <row r="25" spans="1:22" x14ac:dyDescent="0.2">
      <c r="A25" s="11"/>
      <c r="B25" s="12" t="s">
        <v>64</v>
      </c>
      <c r="C25" s="12"/>
      <c r="D25" s="12"/>
      <c r="E25" s="13"/>
      <c r="F25" s="13">
        <v>2490</v>
      </c>
      <c r="G25" s="3">
        <f t="shared" si="3"/>
        <v>126052.29</v>
      </c>
    </row>
    <row r="26" spans="1:22" x14ac:dyDescent="0.2">
      <c r="A26" s="11">
        <v>44689</v>
      </c>
      <c r="B26" s="12" t="s">
        <v>65</v>
      </c>
      <c r="C26" s="12"/>
      <c r="D26" s="12" t="s">
        <v>66</v>
      </c>
      <c r="E26" s="13"/>
      <c r="F26" s="13">
        <v>2000</v>
      </c>
      <c r="G26" s="3">
        <f t="shared" si="3"/>
        <v>124052.29</v>
      </c>
    </row>
    <row r="27" spans="1:22" x14ac:dyDescent="0.2">
      <c r="A27" s="11">
        <v>44693</v>
      </c>
      <c r="B27" s="2" t="s">
        <v>43</v>
      </c>
      <c r="C27" s="12"/>
      <c r="D27" s="12" t="s">
        <v>67</v>
      </c>
      <c r="E27" s="13"/>
      <c r="F27" s="13">
        <v>15000</v>
      </c>
      <c r="G27" s="3">
        <f t="shared" si="3"/>
        <v>109052.29</v>
      </c>
    </row>
    <row r="28" spans="1:22" x14ac:dyDescent="0.2">
      <c r="A28" s="11">
        <v>44694</v>
      </c>
      <c r="B28" s="12" t="s">
        <v>68</v>
      </c>
      <c r="C28" s="12"/>
      <c r="D28" s="12" t="s">
        <v>69</v>
      </c>
      <c r="E28" s="13"/>
      <c r="F28" s="13">
        <v>8</v>
      </c>
      <c r="G28" s="3">
        <f t="shared" si="3"/>
        <v>109044.29</v>
      </c>
    </row>
    <row r="29" spans="1:22" x14ac:dyDescent="0.2">
      <c r="A29" s="11">
        <v>44694</v>
      </c>
      <c r="B29" s="12" t="s">
        <v>70</v>
      </c>
      <c r="C29" s="12" t="s">
        <v>71</v>
      </c>
      <c r="D29" s="12" t="s">
        <v>72</v>
      </c>
      <c r="E29" s="13"/>
      <c r="F29" s="13">
        <v>10048</v>
      </c>
      <c r="G29" s="3">
        <f t="shared" si="3"/>
        <v>98996.29</v>
      </c>
    </row>
    <row r="30" spans="1:22" x14ac:dyDescent="0.2">
      <c r="A30" s="11">
        <v>44695</v>
      </c>
      <c r="B30" s="12" t="s">
        <v>65</v>
      </c>
      <c r="C30" s="12"/>
      <c r="D30" s="12" t="s">
        <v>66</v>
      </c>
      <c r="E30" s="13"/>
      <c r="F30" s="13">
        <v>2550</v>
      </c>
      <c r="G30" s="3">
        <f t="shared" si="3"/>
        <v>96446.29</v>
      </c>
    </row>
    <row r="31" spans="1:22" x14ac:dyDescent="0.2">
      <c r="A31" s="11"/>
      <c r="B31" s="12" t="s">
        <v>28</v>
      </c>
      <c r="C31" s="12" t="s">
        <v>73</v>
      </c>
      <c r="D31" s="12" t="s">
        <v>74</v>
      </c>
      <c r="E31" s="13"/>
      <c r="F31" s="13">
        <v>5500</v>
      </c>
      <c r="G31" s="3">
        <f t="shared" si="3"/>
        <v>90946.29</v>
      </c>
    </row>
    <row r="32" spans="1:22" x14ac:dyDescent="0.2">
      <c r="A32" s="11">
        <v>44702</v>
      </c>
      <c r="B32" s="12" t="s">
        <v>75</v>
      </c>
      <c r="C32" s="12"/>
      <c r="D32" s="12"/>
      <c r="E32" s="13">
        <v>1686</v>
      </c>
      <c r="F32" s="13"/>
      <c r="G32" s="3">
        <f t="shared" si="3"/>
        <v>92632.29</v>
      </c>
    </row>
    <row r="33" spans="1:22" x14ac:dyDescent="0.2">
      <c r="A33" s="6">
        <v>44702</v>
      </c>
      <c r="B33" s="2" t="s">
        <v>76</v>
      </c>
      <c r="C33" s="2"/>
      <c r="D33" s="2"/>
      <c r="E33" s="3">
        <v>27.96</v>
      </c>
      <c r="F33" s="3"/>
      <c r="G33" s="3">
        <f t="shared" si="3"/>
        <v>92660.25</v>
      </c>
    </row>
    <row r="34" spans="1:22" x14ac:dyDescent="0.2">
      <c r="A34" s="6">
        <v>44703</v>
      </c>
      <c r="B34" s="2" t="s">
        <v>28</v>
      </c>
      <c r="C34" s="2" t="s">
        <v>77</v>
      </c>
      <c r="D34" s="2" t="s">
        <v>78</v>
      </c>
      <c r="E34" s="3"/>
      <c r="F34" s="3">
        <v>1650</v>
      </c>
      <c r="G34" s="3">
        <f t="shared" si="3"/>
        <v>91010.25</v>
      </c>
    </row>
    <row r="35" spans="1:22" x14ac:dyDescent="0.2">
      <c r="A35" s="6">
        <v>44703</v>
      </c>
      <c r="B35" s="12" t="s">
        <v>65</v>
      </c>
      <c r="C35" s="2"/>
      <c r="D35" s="2" t="s">
        <v>79</v>
      </c>
      <c r="E35" s="3"/>
      <c r="F35" s="3">
        <v>28000</v>
      </c>
      <c r="G35" s="3">
        <f t="shared" si="3"/>
        <v>63010.25</v>
      </c>
    </row>
    <row r="36" spans="1:22" x14ac:dyDescent="0.2">
      <c r="A36" s="6">
        <v>44707</v>
      </c>
      <c r="B36" s="2" t="s">
        <v>80</v>
      </c>
      <c r="C36" s="2"/>
      <c r="D36" s="2"/>
      <c r="E36" s="3">
        <v>13.98</v>
      </c>
      <c r="F36" s="3"/>
      <c r="G36" s="3">
        <f t="shared" si="3"/>
        <v>63024.23</v>
      </c>
    </row>
    <row r="37" spans="1:22" x14ac:dyDescent="0.2">
      <c r="A37" s="2"/>
      <c r="B37" s="2" t="s">
        <v>81</v>
      </c>
      <c r="C37" s="2"/>
      <c r="D37" s="2" t="s">
        <v>82</v>
      </c>
      <c r="E37" s="3"/>
      <c r="F37" s="3">
        <v>20000</v>
      </c>
      <c r="G37" s="3">
        <f t="shared" si="3"/>
        <v>43024.23</v>
      </c>
    </row>
    <row r="38" spans="1:22" x14ac:dyDescent="0.2">
      <c r="A38" s="2"/>
      <c r="B38" s="2" t="s">
        <v>83</v>
      </c>
      <c r="C38" s="2"/>
      <c r="D38" s="2"/>
      <c r="E38" s="3"/>
      <c r="F38" s="3">
        <v>230</v>
      </c>
      <c r="G38" s="3">
        <f t="shared" si="3"/>
        <v>42794.23</v>
      </c>
    </row>
    <row r="39" spans="1:22" x14ac:dyDescent="0.2">
      <c r="A39" s="2"/>
      <c r="B39" s="2" t="s">
        <v>84</v>
      </c>
      <c r="C39" s="2"/>
      <c r="D39" s="2"/>
      <c r="E39" s="3"/>
      <c r="F39" s="3">
        <v>816</v>
      </c>
      <c r="G39" s="3">
        <f t="shared" si="3"/>
        <v>41978.23</v>
      </c>
    </row>
    <row r="40" spans="1:22" x14ac:dyDescent="0.2">
      <c r="A40" s="6">
        <v>44709</v>
      </c>
      <c r="B40" s="2" t="s">
        <v>85</v>
      </c>
      <c r="C40" s="2"/>
      <c r="D40" s="2"/>
      <c r="E40" s="3">
        <v>0.08</v>
      </c>
      <c r="F40" s="3"/>
      <c r="G40" s="3">
        <f t="shared" si="3"/>
        <v>41978.310000000005</v>
      </c>
    </row>
    <row r="41" spans="1:22" x14ac:dyDescent="0.2">
      <c r="A41" s="6">
        <v>44710</v>
      </c>
      <c r="B41" s="2" t="s">
        <v>81</v>
      </c>
      <c r="C41" s="2"/>
      <c r="D41" s="2" t="s">
        <v>82</v>
      </c>
      <c r="E41" s="3"/>
      <c r="F41" s="3">
        <v>0.17</v>
      </c>
      <c r="G41" s="3">
        <f t="shared" si="3"/>
        <v>41978.140000000007</v>
      </c>
    </row>
    <row r="42" spans="1:22" x14ac:dyDescent="0.2">
      <c r="A42" s="6">
        <v>44711</v>
      </c>
      <c r="B42" s="2" t="s">
        <v>28</v>
      </c>
      <c r="C42" s="2" t="s">
        <v>86</v>
      </c>
      <c r="D42" s="2" t="s">
        <v>87</v>
      </c>
      <c r="E42" s="3"/>
      <c r="F42" s="3">
        <v>6600</v>
      </c>
      <c r="G42" s="3">
        <f t="shared" si="3"/>
        <v>35378.140000000007</v>
      </c>
    </row>
    <row r="43" spans="1:22" x14ac:dyDescent="0.2">
      <c r="E43" s="21"/>
      <c r="F43" s="21"/>
    </row>
    <row r="44" spans="1:22" x14ac:dyDescent="0.2">
      <c r="A44" s="30" t="s">
        <v>0</v>
      </c>
      <c r="B44" s="31"/>
      <c r="C44" s="31"/>
      <c r="D44" s="31"/>
      <c r="E44" s="31"/>
      <c r="F44" s="32"/>
      <c r="G44" s="26"/>
      <c r="H44" s="1"/>
      <c r="I44" s="30" t="s">
        <v>2</v>
      </c>
      <c r="J44" s="31"/>
      <c r="K44" s="31"/>
      <c r="L44" s="31"/>
      <c r="M44" s="31"/>
      <c r="N44" s="32"/>
      <c r="O44" s="5"/>
      <c r="Q44" s="30" t="s">
        <v>36</v>
      </c>
      <c r="R44" s="31"/>
      <c r="S44" s="31"/>
      <c r="T44" s="31"/>
      <c r="U44" s="31"/>
      <c r="V44" s="32"/>
    </row>
    <row r="45" spans="1:22" x14ac:dyDescent="0.2">
      <c r="A45" s="4" t="s">
        <v>4</v>
      </c>
      <c r="B45" s="4" t="s">
        <v>5</v>
      </c>
      <c r="C45" s="4" t="s">
        <v>88</v>
      </c>
      <c r="D45" s="4" t="s">
        <v>6</v>
      </c>
      <c r="E45" s="5" t="s">
        <v>7</v>
      </c>
      <c r="F45" s="5" t="s">
        <v>8</v>
      </c>
      <c r="G45" s="5" t="s">
        <v>9</v>
      </c>
      <c r="I45" s="4" t="s">
        <v>4</v>
      </c>
      <c r="J45" s="4" t="s">
        <v>5</v>
      </c>
      <c r="K45" s="4" t="s">
        <v>88</v>
      </c>
      <c r="L45" s="4" t="s">
        <v>6</v>
      </c>
      <c r="M45" s="5" t="s">
        <v>7</v>
      </c>
      <c r="N45" s="5" t="s">
        <v>8</v>
      </c>
      <c r="O45" s="5" t="s">
        <v>9</v>
      </c>
      <c r="Q45" s="4" t="s">
        <v>4</v>
      </c>
      <c r="R45" s="4" t="s">
        <v>5</v>
      </c>
      <c r="S45" s="4" t="s">
        <v>6</v>
      </c>
      <c r="T45" s="5" t="s">
        <v>7</v>
      </c>
      <c r="U45" s="5" t="s">
        <v>8</v>
      </c>
      <c r="V45" s="5" t="s">
        <v>9</v>
      </c>
    </row>
    <row r="46" spans="1:22" x14ac:dyDescent="0.2">
      <c r="A46" s="7">
        <v>44713</v>
      </c>
      <c r="B46" s="4" t="s">
        <v>10</v>
      </c>
      <c r="C46" s="27"/>
      <c r="D46" s="27"/>
      <c r="E46" s="5"/>
      <c r="F46" s="5"/>
      <c r="G46" s="5">
        <v>35378.14</v>
      </c>
      <c r="I46" s="6">
        <v>44713</v>
      </c>
      <c r="J46" s="28" t="s">
        <v>10</v>
      </c>
      <c r="K46" s="28"/>
      <c r="L46" s="28"/>
      <c r="M46" s="3"/>
      <c r="N46" s="3"/>
      <c r="O46" s="3">
        <v>23884.95</v>
      </c>
      <c r="Q46" s="7">
        <v>44713</v>
      </c>
      <c r="R46" s="28" t="s">
        <v>10</v>
      </c>
      <c r="S46" s="28"/>
      <c r="T46" s="3"/>
      <c r="U46" s="3"/>
      <c r="V46" s="3">
        <v>0</v>
      </c>
    </row>
    <row r="47" spans="1:22" x14ac:dyDescent="0.2">
      <c r="A47" s="7">
        <v>44713</v>
      </c>
      <c r="B47" s="2" t="s">
        <v>89</v>
      </c>
      <c r="C47" s="28"/>
      <c r="D47" s="28" t="s">
        <v>90</v>
      </c>
      <c r="E47" s="3">
        <v>77364.67</v>
      </c>
      <c r="F47" s="3"/>
      <c r="G47" s="3">
        <f t="shared" ref="G47:G67" si="6">G46+E47-F47</f>
        <v>112742.81</v>
      </c>
      <c r="I47" s="6">
        <v>44713</v>
      </c>
      <c r="J47" s="28" t="s">
        <v>91</v>
      </c>
      <c r="K47" s="28"/>
      <c r="L47" s="28" t="s">
        <v>92</v>
      </c>
      <c r="M47" s="3"/>
      <c r="N47" s="3">
        <v>10000</v>
      </c>
      <c r="O47" s="3">
        <f t="shared" ref="O47:O62" si="7">O46+M47-N47</f>
        <v>13884.95</v>
      </c>
      <c r="Q47" s="7">
        <v>44713</v>
      </c>
      <c r="R47" s="28" t="s">
        <v>93</v>
      </c>
      <c r="S47" s="28" t="s">
        <v>94</v>
      </c>
      <c r="T47" s="3">
        <v>7500</v>
      </c>
      <c r="U47" s="3"/>
      <c r="V47" s="3">
        <f t="shared" ref="V47:V50" si="8">V46+T47-U47</f>
        <v>7500</v>
      </c>
    </row>
    <row r="48" spans="1:22" x14ac:dyDescent="0.2">
      <c r="A48" s="7"/>
      <c r="B48" s="2" t="s">
        <v>69</v>
      </c>
      <c r="C48" s="2"/>
      <c r="D48" s="2" t="s">
        <v>69</v>
      </c>
      <c r="E48" s="3"/>
      <c r="F48" s="3">
        <v>8</v>
      </c>
      <c r="G48" s="3">
        <f t="shared" si="6"/>
        <v>112734.81</v>
      </c>
      <c r="I48" s="6"/>
      <c r="J48" s="28" t="s">
        <v>95</v>
      </c>
      <c r="K48" s="28"/>
      <c r="L48" s="28" t="s">
        <v>96</v>
      </c>
      <c r="M48" s="3"/>
      <c r="N48" s="3">
        <v>969.65</v>
      </c>
      <c r="O48" s="3">
        <f t="shared" si="7"/>
        <v>12915.300000000001</v>
      </c>
      <c r="Q48" s="7">
        <v>44728</v>
      </c>
      <c r="R48" s="28" t="s">
        <v>97</v>
      </c>
      <c r="S48" s="28"/>
      <c r="T48" s="3"/>
      <c r="U48" s="3">
        <v>3000</v>
      </c>
      <c r="V48" s="3">
        <f t="shared" si="8"/>
        <v>4500</v>
      </c>
    </row>
    <row r="49" spans="1:22" x14ac:dyDescent="0.2">
      <c r="A49" s="7"/>
      <c r="B49" s="2" t="s">
        <v>98</v>
      </c>
      <c r="C49" s="2"/>
      <c r="D49" s="2" t="s">
        <v>99</v>
      </c>
      <c r="E49" s="3"/>
      <c r="F49" s="3">
        <v>20000</v>
      </c>
      <c r="G49" s="3">
        <f t="shared" si="6"/>
        <v>92734.81</v>
      </c>
      <c r="I49" s="6"/>
      <c r="J49" s="28" t="s">
        <v>100</v>
      </c>
      <c r="K49" s="28"/>
      <c r="L49" s="28" t="s">
        <v>101</v>
      </c>
      <c r="M49" s="3"/>
      <c r="N49" s="3">
        <v>517.15</v>
      </c>
      <c r="O49" s="3">
        <f t="shared" si="7"/>
        <v>12398.150000000001</v>
      </c>
      <c r="Q49" s="7">
        <v>44735</v>
      </c>
      <c r="R49" s="28" t="s">
        <v>32</v>
      </c>
      <c r="S49" s="28"/>
      <c r="T49" s="3">
        <v>1200</v>
      </c>
      <c r="U49" s="3"/>
      <c r="V49" s="3">
        <f t="shared" si="8"/>
        <v>5700</v>
      </c>
    </row>
    <row r="50" spans="1:22" x14ac:dyDescent="0.2">
      <c r="A50" s="7"/>
      <c r="B50" s="9" t="s">
        <v>102</v>
      </c>
      <c r="C50" s="9"/>
      <c r="D50" s="9"/>
      <c r="E50" s="10"/>
      <c r="F50" s="10">
        <v>1500</v>
      </c>
      <c r="G50" s="10">
        <f t="shared" si="6"/>
        <v>91234.81</v>
      </c>
      <c r="I50" s="6">
        <v>44714</v>
      </c>
      <c r="J50" s="2" t="s">
        <v>8</v>
      </c>
      <c r="K50" s="2"/>
      <c r="L50" s="2" t="s">
        <v>69</v>
      </c>
      <c r="M50" s="3"/>
      <c r="N50" s="3">
        <v>7.11</v>
      </c>
      <c r="O50" s="3">
        <f t="shared" si="7"/>
        <v>12391.04</v>
      </c>
      <c r="Q50" s="7">
        <v>44742</v>
      </c>
      <c r="R50" s="9" t="s">
        <v>103</v>
      </c>
      <c r="S50" s="9"/>
      <c r="T50" s="10"/>
      <c r="U50" s="10">
        <v>5700</v>
      </c>
      <c r="V50" s="10">
        <f t="shared" si="8"/>
        <v>0</v>
      </c>
    </row>
    <row r="51" spans="1:22" x14ac:dyDescent="0.2">
      <c r="A51" s="7"/>
      <c r="B51" s="2" t="s">
        <v>46</v>
      </c>
      <c r="C51" s="2"/>
      <c r="D51" s="2"/>
      <c r="E51" s="3"/>
      <c r="F51" s="3">
        <v>57000</v>
      </c>
      <c r="G51" s="3">
        <f t="shared" si="6"/>
        <v>34234.81</v>
      </c>
      <c r="I51" s="6"/>
      <c r="J51" s="2" t="s">
        <v>8</v>
      </c>
      <c r="K51" s="2" t="s">
        <v>104</v>
      </c>
      <c r="L51" s="2" t="s">
        <v>105</v>
      </c>
      <c r="M51" s="3"/>
      <c r="N51" s="3">
        <v>1422.11</v>
      </c>
      <c r="O51" s="3">
        <f t="shared" si="7"/>
        <v>10968.93</v>
      </c>
      <c r="Q51" s="7"/>
      <c r="R51" s="4"/>
      <c r="S51" s="4"/>
      <c r="T51" s="5"/>
      <c r="U51" s="5"/>
      <c r="V51" s="5"/>
    </row>
    <row r="52" spans="1:22" x14ac:dyDescent="0.2">
      <c r="A52" s="7"/>
      <c r="B52" s="2" t="s">
        <v>106</v>
      </c>
      <c r="C52" s="2"/>
      <c r="D52" s="2" t="s">
        <v>107</v>
      </c>
      <c r="E52" s="3"/>
      <c r="F52" s="3">
        <v>10000</v>
      </c>
      <c r="G52" s="3">
        <f t="shared" si="6"/>
        <v>24234.809999999998</v>
      </c>
      <c r="I52" s="7">
        <v>44720</v>
      </c>
      <c r="J52" s="4" t="s">
        <v>108</v>
      </c>
      <c r="K52" s="29" t="s">
        <v>109</v>
      </c>
      <c r="L52" s="29" t="s">
        <v>110</v>
      </c>
      <c r="M52" s="5"/>
      <c r="N52" s="5">
        <v>3174.25</v>
      </c>
      <c r="O52" s="5">
        <f t="shared" si="7"/>
        <v>7794.68</v>
      </c>
      <c r="Q52" s="7"/>
      <c r="R52" s="4"/>
      <c r="S52" s="4"/>
      <c r="T52" s="5"/>
      <c r="U52" s="5"/>
      <c r="V52" s="5"/>
    </row>
    <row r="53" spans="1:22" x14ac:dyDescent="0.2">
      <c r="A53" s="17"/>
      <c r="B53" s="12" t="s">
        <v>69</v>
      </c>
      <c r="C53" s="12"/>
      <c r="D53" s="12"/>
      <c r="E53" s="13"/>
      <c r="F53" s="13">
        <v>8</v>
      </c>
      <c r="G53" s="3">
        <f t="shared" si="6"/>
        <v>24226.809999999998</v>
      </c>
      <c r="I53" s="17">
        <v>44724</v>
      </c>
      <c r="J53" s="14" t="s">
        <v>111</v>
      </c>
      <c r="K53" s="12"/>
      <c r="L53" s="12" t="s">
        <v>112</v>
      </c>
      <c r="M53" s="15"/>
      <c r="N53" s="15">
        <v>3620.75</v>
      </c>
      <c r="O53" s="5">
        <f t="shared" si="7"/>
        <v>4173.93</v>
      </c>
      <c r="Q53" s="17"/>
      <c r="R53" s="14"/>
      <c r="S53" s="14"/>
      <c r="T53" s="15"/>
      <c r="U53" s="15"/>
      <c r="V53" s="5"/>
    </row>
    <row r="54" spans="1:22" x14ac:dyDescent="0.2">
      <c r="A54" s="17"/>
      <c r="B54" s="12" t="s">
        <v>98</v>
      </c>
      <c r="C54" s="2"/>
      <c r="D54" s="2" t="s">
        <v>99</v>
      </c>
      <c r="E54" s="13"/>
      <c r="F54" s="13">
        <v>20000</v>
      </c>
      <c r="G54" s="3">
        <f t="shared" si="6"/>
        <v>4226.8099999999977</v>
      </c>
      <c r="I54" s="11">
        <v>44727</v>
      </c>
      <c r="J54" s="28" t="s">
        <v>91</v>
      </c>
      <c r="K54" s="28"/>
      <c r="L54" s="28" t="s">
        <v>113</v>
      </c>
      <c r="M54" s="13"/>
      <c r="N54" s="13">
        <v>3232.12</v>
      </c>
      <c r="O54" s="3">
        <f t="shared" si="7"/>
        <v>941.8100000000004</v>
      </c>
      <c r="Q54" s="17"/>
      <c r="R54" s="27"/>
      <c r="S54" s="27"/>
      <c r="T54" s="15"/>
      <c r="U54" s="15"/>
      <c r="V54" s="5"/>
    </row>
    <row r="55" spans="1:22" x14ac:dyDescent="0.2">
      <c r="A55" s="17"/>
      <c r="B55" s="12" t="s">
        <v>114</v>
      </c>
      <c r="C55" s="12"/>
      <c r="D55" s="12" t="s">
        <v>115</v>
      </c>
      <c r="E55" s="13">
        <v>4000</v>
      </c>
      <c r="F55" s="13"/>
      <c r="G55" s="3">
        <f t="shared" si="6"/>
        <v>8226.8099999999977</v>
      </c>
      <c r="I55" s="11">
        <v>44728</v>
      </c>
      <c r="J55" s="12" t="s">
        <v>8</v>
      </c>
      <c r="K55" s="12"/>
      <c r="L55" s="12" t="s">
        <v>31</v>
      </c>
      <c r="M55" s="13">
        <v>69972.31</v>
      </c>
      <c r="N55" s="13"/>
      <c r="O55" s="3">
        <f t="shared" si="7"/>
        <v>70914.12</v>
      </c>
      <c r="Q55" s="17"/>
      <c r="R55" s="14"/>
      <c r="S55" s="14"/>
      <c r="T55" s="15"/>
      <c r="U55" s="15"/>
      <c r="V55" s="5"/>
    </row>
    <row r="56" spans="1:22" x14ac:dyDescent="0.2">
      <c r="A56" s="17">
        <v>44714</v>
      </c>
      <c r="B56" s="12" t="s">
        <v>50</v>
      </c>
      <c r="C56" s="12"/>
      <c r="D56" s="12" t="s">
        <v>69</v>
      </c>
      <c r="E56" s="13"/>
      <c r="F56" s="13">
        <v>1.95</v>
      </c>
      <c r="G56" s="3">
        <f t="shared" si="6"/>
        <v>8224.8599999999969</v>
      </c>
      <c r="I56" s="12"/>
      <c r="J56" s="12" t="s">
        <v>47</v>
      </c>
      <c r="K56" s="12" t="s">
        <v>116</v>
      </c>
      <c r="L56" s="12" t="s">
        <v>117</v>
      </c>
      <c r="M56" s="13"/>
      <c r="N56" s="13">
        <v>3040</v>
      </c>
      <c r="O56" s="3">
        <f t="shared" si="7"/>
        <v>67874.12</v>
      </c>
      <c r="Q56" s="14"/>
      <c r="R56" s="14"/>
      <c r="S56" s="14"/>
      <c r="T56" s="15"/>
      <c r="U56" s="15"/>
      <c r="V56" s="5"/>
    </row>
    <row r="57" spans="1:22" x14ac:dyDescent="0.2">
      <c r="A57" s="17">
        <v>44721</v>
      </c>
      <c r="B57" s="2" t="s">
        <v>118</v>
      </c>
      <c r="C57" s="12"/>
      <c r="D57" s="12"/>
      <c r="E57" s="13"/>
      <c r="F57" s="13">
        <v>7500</v>
      </c>
      <c r="G57" s="3">
        <f t="shared" si="6"/>
        <v>724.85999999999694</v>
      </c>
      <c r="I57" s="11">
        <v>44731</v>
      </c>
      <c r="J57" s="12" t="s">
        <v>8</v>
      </c>
      <c r="K57" s="12"/>
      <c r="L57" s="12" t="s">
        <v>119</v>
      </c>
      <c r="M57" s="13"/>
      <c r="N57" s="13">
        <v>5171.24</v>
      </c>
      <c r="O57" s="3">
        <f t="shared" si="7"/>
        <v>62702.879999999997</v>
      </c>
      <c r="Q57" s="17"/>
      <c r="R57" s="14"/>
      <c r="S57" s="14"/>
      <c r="T57" s="15"/>
      <c r="U57" s="15"/>
      <c r="V57" s="5"/>
    </row>
    <row r="58" spans="1:22" x14ac:dyDescent="0.2">
      <c r="A58" s="17">
        <v>44727</v>
      </c>
      <c r="B58" s="2" t="s">
        <v>89</v>
      </c>
      <c r="C58" s="12"/>
      <c r="D58" s="12" t="s">
        <v>120</v>
      </c>
      <c r="E58" s="13">
        <v>25000</v>
      </c>
      <c r="F58" s="13"/>
      <c r="G58" s="3">
        <f t="shared" si="6"/>
        <v>25724.859999999997</v>
      </c>
      <c r="I58" s="12"/>
      <c r="J58" s="12" t="s">
        <v>8</v>
      </c>
      <c r="K58" s="12"/>
      <c r="L58" s="12" t="s">
        <v>69</v>
      </c>
      <c r="M58" s="13"/>
      <c r="N58" s="13">
        <v>7.11</v>
      </c>
      <c r="O58" s="3">
        <f t="shared" si="7"/>
        <v>62695.77</v>
      </c>
      <c r="Q58" s="14"/>
      <c r="R58" s="14"/>
      <c r="S58" s="14"/>
      <c r="T58" s="15"/>
      <c r="U58" s="15"/>
      <c r="V58" s="5"/>
    </row>
    <row r="59" spans="1:22" x14ac:dyDescent="0.2">
      <c r="A59" s="17"/>
      <c r="B59" s="2" t="s">
        <v>106</v>
      </c>
      <c r="C59" s="2"/>
      <c r="D59" s="2" t="s">
        <v>107</v>
      </c>
      <c r="E59" s="13"/>
      <c r="F59" s="13">
        <v>25000</v>
      </c>
      <c r="G59" s="3">
        <f t="shared" si="6"/>
        <v>724.85999999999694</v>
      </c>
      <c r="I59" s="12"/>
      <c r="J59" s="12" t="s">
        <v>8</v>
      </c>
      <c r="K59" s="12"/>
      <c r="L59" s="12" t="s">
        <v>70</v>
      </c>
      <c r="M59" s="13"/>
      <c r="N59" s="13">
        <v>784.07</v>
      </c>
      <c r="O59" s="3">
        <f t="shared" si="7"/>
        <v>61911.7</v>
      </c>
      <c r="Q59" s="14"/>
      <c r="R59" s="14"/>
      <c r="S59" s="14"/>
      <c r="T59" s="15"/>
      <c r="U59" s="15"/>
      <c r="V59" s="5"/>
    </row>
    <row r="60" spans="1:22" x14ac:dyDescent="0.2">
      <c r="A60" s="11">
        <v>44734</v>
      </c>
      <c r="B60" s="12" t="s">
        <v>121</v>
      </c>
      <c r="C60" s="12"/>
      <c r="D60" s="12" t="s">
        <v>122</v>
      </c>
      <c r="E60" s="13">
        <v>43498.25</v>
      </c>
      <c r="F60" s="13"/>
      <c r="G60" s="3">
        <f t="shared" si="6"/>
        <v>44223.11</v>
      </c>
      <c r="I60" s="11">
        <v>44735</v>
      </c>
      <c r="J60" s="12" t="s">
        <v>8</v>
      </c>
      <c r="K60" s="12"/>
      <c r="L60" s="12" t="s">
        <v>69</v>
      </c>
      <c r="M60" s="13"/>
      <c r="N60" s="13">
        <v>14.87</v>
      </c>
      <c r="O60" s="3">
        <f t="shared" si="7"/>
        <v>61896.829999999994</v>
      </c>
      <c r="Q60" s="17"/>
      <c r="R60" s="14"/>
      <c r="S60" s="14"/>
      <c r="T60" s="15"/>
      <c r="U60" s="15"/>
      <c r="V60" s="5"/>
    </row>
    <row r="61" spans="1:22" x14ac:dyDescent="0.2">
      <c r="A61" s="17">
        <v>44735</v>
      </c>
      <c r="B61" s="12" t="s">
        <v>123</v>
      </c>
      <c r="C61" s="12"/>
      <c r="D61" s="12" t="s">
        <v>124</v>
      </c>
      <c r="E61" s="13"/>
      <c r="F61" s="13">
        <v>1200</v>
      </c>
      <c r="G61" s="3">
        <f t="shared" si="6"/>
        <v>43023.11</v>
      </c>
      <c r="I61" s="12"/>
      <c r="J61" s="12" t="s">
        <v>8</v>
      </c>
      <c r="K61" s="12" t="s">
        <v>125</v>
      </c>
      <c r="L61" s="12" t="s">
        <v>126</v>
      </c>
      <c r="M61" s="13"/>
      <c r="N61" s="13">
        <v>390</v>
      </c>
      <c r="O61" s="3">
        <f t="shared" si="7"/>
        <v>61506.829999999994</v>
      </c>
      <c r="Q61" s="14"/>
      <c r="R61" s="14"/>
      <c r="S61" s="14"/>
      <c r="T61" s="15"/>
      <c r="U61" s="15"/>
      <c r="V61" s="5"/>
    </row>
    <row r="62" spans="1:22" x14ac:dyDescent="0.2">
      <c r="A62" s="17"/>
      <c r="B62" s="14" t="s">
        <v>28</v>
      </c>
      <c r="C62" s="12" t="s">
        <v>127</v>
      </c>
      <c r="D62" s="12" t="s">
        <v>128</v>
      </c>
      <c r="E62" s="15"/>
      <c r="F62" s="15">
        <v>4500</v>
      </c>
      <c r="G62" s="5">
        <f t="shared" si="6"/>
        <v>38523.11</v>
      </c>
      <c r="I62" s="12"/>
      <c r="J62" s="12" t="s">
        <v>85</v>
      </c>
      <c r="K62" s="12"/>
      <c r="L62" s="12"/>
      <c r="M62" s="13">
        <v>0.13</v>
      </c>
      <c r="N62" s="13"/>
      <c r="O62" s="3">
        <f t="shared" si="7"/>
        <v>61506.959999999992</v>
      </c>
      <c r="P62" s="16" t="s">
        <v>57</v>
      </c>
      <c r="Q62" s="14"/>
      <c r="R62" s="14"/>
      <c r="S62" s="14"/>
      <c r="T62" s="15"/>
      <c r="U62" s="15"/>
      <c r="V62" s="5"/>
    </row>
    <row r="63" spans="1:22" x14ac:dyDescent="0.2">
      <c r="A63" s="7"/>
      <c r="B63" s="2" t="s">
        <v>129</v>
      </c>
      <c r="C63" s="2" t="s">
        <v>130</v>
      </c>
      <c r="D63" s="2" t="s">
        <v>131</v>
      </c>
      <c r="E63" s="3"/>
      <c r="F63" s="3">
        <v>1000</v>
      </c>
      <c r="G63" s="3">
        <f t="shared" si="6"/>
        <v>37523.11</v>
      </c>
      <c r="I63" s="14"/>
      <c r="J63" s="14"/>
      <c r="K63" s="14"/>
      <c r="L63" s="14"/>
      <c r="M63" s="15"/>
      <c r="N63" s="15"/>
      <c r="O63" s="5"/>
      <c r="Q63" s="14"/>
      <c r="R63" s="14"/>
      <c r="S63" s="14"/>
      <c r="T63" s="15"/>
      <c r="U63" s="15"/>
      <c r="V63" s="5"/>
    </row>
    <row r="64" spans="1:22" x14ac:dyDescent="0.2">
      <c r="A64" s="7">
        <v>44736</v>
      </c>
      <c r="B64" s="2" t="s">
        <v>68</v>
      </c>
      <c r="C64" s="2"/>
      <c r="D64" s="2"/>
      <c r="E64" s="3"/>
      <c r="F64" s="3">
        <v>8</v>
      </c>
      <c r="G64" s="3">
        <f t="shared" si="6"/>
        <v>37515.11</v>
      </c>
      <c r="I64" s="14"/>
      <c r="J64" s="14"/>
      <c r="K64" s="14"/>
      <c r="L64" s="14"/>
      <c r="M64" s="15"/>
      <c r="N64" s="15"/>
      <c r="O64" s="5"/>
      <c r="Q64" s="14"/>
      <c r="R64" s="14"/>
      <c r="S64" s="14"/>
      <c r="T64" s="15"/>
      <c r="U64" s="15"/>
      <c r="V64" s="5"/>
    </row>
    <row r="65" spans="1:22" x14ac:dyDescent="0.2">
      <c r="A65" s="7"/>
      <c r="B65" s="12" t="s">
        <v>132</v>
      </c>
      <c r="C65" s="2" t="s">
        <v>133</v>
      </c>
      <c r="D65" s="2" t="s">
        <v>134</v>
      </c>
      <c r="E65" s="3"/>
      <c r="F65" s="3">
        <v>33001.279999999999</v>
      </c>
      <c r="G65" s="3">
        <f t="shared" si="6"/>
        <v>4513.8300000000017</v>
      </c>
      <c r="I65" s="14"/>
      <c r="J65" s="14"/>
      <c r="K65" s="14"/>
      <c r="L65" s="14"/>
      <c r="M65" s="15"/>
      <c r="N65" s="15"/>
      <c r="O65" s="5"/>
      <c r="Q65" s="14"/>
      <c r="R65" s="14"/>
      <c r="S65" s="14"/>
      <c r="T65" s="15"/>
      <c r="U65" s="15"/>
      <c r="V65" s="5"/>
    </row>
    <row r="66" spans="1:22" x14ac:dyDescent="0.2">
      <c r="A66" s="6">
        <v>44739</v>
      </c>
      <c r="B66" s="2" t="s">
        <v>85</v>
      </c>
      <c r="C66" s="2"/>
      <c r="D66" s="2"/>
      <c r="E66" s="3">
        <v>0.01</v>
      </c>
      <c r="F66" s="3"/>
      <c r="G66" s="3">
        <f t="shared" si="6"/>
        <v>4513.840000000002</v>
      </c>
      <c r="I66" s="14"/>
      <c r="J66" s="14"/>
      <c r="K66" s="14"/>
      <c r="L66" s="14"/>
      <c r="M66" s="15"/>
      <c r="N66" s="15"/>
      <c r="O66" s="5"/>
      <c r="Q66" s="14"/>
      <c r="R66" s="14"/>
      <c r="S66" s="14"/>
      <c r="T66" s="15"/>
      <c r="U66" s="15"/>
      <c r="V66" s="5"/>
    </row>
    <row r="67" spans="1:22" x14ac:dyDescent="0.2">
      <c r="A67" s="7">
        <v>44741</v>
      </c>
      <c r="B67" s="4" t="s">
        <v>135</v>
      </c>
      <c r="C67" s="2"/>
      <c r="D67" s="2" t="s">
        <v>136</v>
      </c>
      <c r="E67" s="5">
        <v>31500</v>
      </c>
      <c r="F67" s="5"/>
      <c r="G67" s="5">
        <f t="shared" si="6"/>
        <v>36013.840000000004</v>
      </c>
      <c r="O67" s="21"/>
    </row>
    <row r="68" spans="1:22" x14ac:dyDescent="0.2">
      <c r="A68" s="4"/>
      <c r="B68" s="4"/>
      <c r="C68" s="4"/>
      <c r="D68" s="4"/>
      <c r="E68" s="5"/>
      <c r="F68" s="5"/>
      <c r="G68" s="5"/>
      <c r="O68" s="21"/>
    </row>
    <row r="69" spans="1:22" x14ac:dyDescent="0.2">
      <c r="A69" s="4"/>
      <c r="B69" s="4"/>
      <c r="C69" s="4"/>
      <c r="D69" s="4"/>
      <c r="E69" s="5"/>
      <c r="F69" s="5"/>
      <c r="G69" s="5"/>
      <c r="O69" s="21"/>
    </row>
    <row r="70" spans="1:22" x14ac:dyDescent="0.2">
      <c r="A70" s="7"/>
      <c r="B70" s="4"/>
      <c r="C70" s="4"/>
      <c r="D70" s="4"/>
      <c r="E70" s="5"/>
      <c r="F70" s="5"/>
      <c r="G70" s="5"/>
      <c r="O70" s="21"/>
    </row>
    <row r="71" spans="1:22" x14ac:dyDescent="0.2">
      <c r="E71" s="21"/>
      <c r="F71" s="21"/>
    </row>
    <row r="72" spans="1:22" x14ac:dyDescent="0.2">
      <c r="E72" s="21"/>
      <c r="F72" s="21"/>
    </row>
    <row r="73" spans="1:22" x14ac:dyDescent="0.2">
      <c r="E73" s="21"/>
      <c r="F73" s="21"/>
    </row>
    <row r="74" spans="1:22" x14ac:dyDescent="0.2">
      <c r="E74" s="21"/>
      <c r="F74" s="21"/>
    </row>
    <row r="75" spans="1:22" x14ac:dyDescent="0.2">
      <c r="D75" s="21"/>
      <c r="E75" s="21"/>
      <c r="M75" s="21"/>
    </row>
    <row r="76" spans="1:22" x14ac:dyDescent="0.2">
      <c r="D76" s="21"/>
      <c r="E76" s="21"/>
      <c r="M76" s="21"/>
    </row>
    <row r="77" spans="1:22" x14ac:dyDescent="0.2">
      <c r="D77" s="21"/>
      <c r="E77" s="21"/>
      <c r="M77" s="21"/>
    </row>
    <row r="78" spans="1:22" x14ac:dyDescent="0.2">
      <c r="D78" s="21"/>
      <c r="E78" s="21"/>
      <c r="M78" s="21"/>
    </row>
    <row r="79" spans="1:22" x14ac:dyDescent="0.2">
      <c r="D79" s="21"/>
      <c r="E79" s="21"/>
      <c r="M79" s="21"/>
    </row>
    <row r="80" spans="1:22" x14ac:dyDescent="0.2">
      <c r="D80" s="21"/>
      <c r="E80" s="21"/>
      <c r="M80" s="21"/>
    </row>
    <row r="81" spans="4:13" x14ac:dyDescent="0.2">
      <c r="D81" s="21"/>
      <c r="E81" s="21"/>
      <c r="M81" s="21"/>
    </row>
    <row r="82" spans="4:13" x14ac:dyDescent="0.2">
      <c r="D82" s="21"/>
      <c r="E82" s="21"/>
      <c r="M82" s="21"/>
    </row>
    <row r="83" spans="4:13" x14ac:dyDescent="0.2">
      <c r="D83" s="21"/>
      <c r="E83" s="21"/>
      <c r="M83" s="21"/>
    </row>
    <row r="84" spans="4:13" x14ac:dyDescent="0.2">
      <c r="D84" s="21"/>
      <c r="E84" s="21"/>
      <c r="M84" s="21"/>
    </row>
    <row r="85" spans="4:13" x14ac:dyDescent="0.2">
      <c r="D85" s="21"/>
      <c r="E85" s="21"/>
      <c r="M85" s="21"/>
    </row>
    <row r="86" spans="4:13" x14ac:dyDescent="0.2">
      <c r="D86" s="21"/>
      <c r="E86" s="21"/>
      <c r="M86" s="21"/>
    </row>
    <row r="87" spans="4:13" x14ac:dyDescent="0.2">
      <c r="D87" s="21"/>
      <c r="E87" s="21"/>
      <c r="M87" s="21"/>
    </row>
    <row r="88" spans="4:13" x14ac:dyDescent="0.2">
      <c r="D88" s="21"/>
      <c r="E88" s="21"/>
      <c r="M88" s="21"/>
    </row>
    <row r="89" spans="4:13" x14ac:dyDescent="0.2">
      <c r="D89" s="21"/>
      <c r="E89" s="21"/>
      <c r="M89" s="21"/>
    </row>
    <row r="90" spans="4:13" x14ac:dyDescent="0.2">
      <c r="D90" s="21"/>
      <c r="E90" s="21"/>
      <c r="M90" s="21"/>
    </row>
    <row r="91" spans="4:13" x14ac:dyDescent="0.2">
      <c r="D91" s="21"/>
      <c r="E91" s="21"/>
      <c r="M91" s="21"/>
    </row>
    <row r="92" spans="4:13" x14ac:dyDescent="0.2">
      <c r="D92" s="21"/>
      <c r="E92" s="21"/>
      <c r="M92" s="21"/>
    </row>
    <row r="93" spans="4:13" x14ac:dyDescent="0.2">
      <c r="D93" s="21"/>
      <c r="E93" s="21"/>
      <c r="M93" s="21"/>
    </row>
    <row r="94" spans="4:13" x14ac:dyDescent="0.2">
      <c r="D94" s="21"/>
      <c r="E94" s="21"/>
      <c r="M94" s="21"/>
    </row>
    <row r="95" spans="4:13" x14ac:dyDescent="0.2">
      <c r="D95" s="21"/>
      <c r="E95" s="21"/>
      <c r="M95" s="21"/>
    </row>
    <row r="96" spans="4:13" x14ac:dyDescent="0.2">
      <c r="D96" s="21"/>
      <c r="E96" s="21"/>
      <c r="M96" s="21"/>
    </row>
    <row r="97" spans="4:13" x14ac:dyDescent="0.2">
      <c r="D97" s="21"/>
      <c r="E97" s="21"/>
      <c r="M97" s="21"/>
    </row>
    <row r="98" spans="4:13" x14ac:dyDescent="0.2">
      <c r="D98" s="21"/>
      <c r="E98" s="21"/>
      <c r="M98" s="21"/>
    </row>
    <row r="99" spans="4:13" x14ac:dyDescent="0.2">
      <c r="D99" s="21"/>
      <c r="E99" s="21"/>
      <c r="M99" s="21"/>
    </row>
    <row r="100" spans="4:13" x14ac:dyDescent="0.2">
      <c r="D100" s="21"/>
      <c r="E100" s="21"/>
      <c r="M100" s="21"/>
    </row>
    <row r="101" spans="4:13" x14ac:dyDescent="0.2">
      <c r="D101" s="21"/>
      <c r="E101" s="21"/>
      <c r="M101" s="21"/>
    </row>
    <row r="102" spans="4:13" x14ac:dyDescent="0.2">
      <c r="D102" s="21"/>
      <c r="E102" s="21"/>
      <c r="M102" s="21"/>
    </row>
    <row r="103" spans="4:13" x14ac:dyDescent="0.2">
      <c r="D103" s="21"/>
      <c r="E103" s="21"/>
      <c r="M103" s="21"/>
    </row>
    <row r="104" spans="4:13" x14ac:dyDescent="0.2">
      <c r="D104" s="21"/>
      <c r="E104" s="21"/>
      <c r="M104" s="21"/>
    </row>
    <row r="105" spans="4:13" x14ac:dyDescent="0.2">
      <c r="D105" s="21"/>
      <c r="E105" s="21"/>
      <c r="M105" s="21"/>
    </row>
    <row r="106" spans="4:13" x14ac:dyDescent="0.2">
      <c r="D106" s="21"/>
      <c r="E106" s="21"/>
      <c r="M106" s="21"/>
    </row>
    <row r="107" spans="4:13" x14ac:dyDescent="0.2">
      <c r="D107" s="21"/>
      <c r="E107" s="21"/>
      <c r="M107" s="21"/>
    </row>
    <row r="108" spans="4:13" ht="12.75" x14ac:dyDescent="0.2">
      <c r="D108" s="21"/>
      <c r="E108" s="21"/>
      <c r="M108" s="21"/>
    </row>
    <row r="109" spans="4:13" ht="12.75" x14ac:dyDescent="0.2">
      <c r="D109" s="21"/>
      <c r="E109" s="21"/>
      <c r="M109" s="21"/>
    </row>
    <row r="110" spans="4:13" ht="12.75" x14ac:dyDescent="0.2">
      <c r="D110" s="21"/>
      <c r="E110" s="21"/>
      <c r="M110" s="21"/>
    </row>
    <row r="111" spans="4:13" ht="12.75" x14ac:dyDescent="0.2">
      <c r="D111" s="21"/>
      <c r="E111" s="21"/>
      <c r="M111" s="21"/>
    </row>
    <row r="112" spans="4:13" ht="12.75" x14ac:dyDescent="0.2">
      <c r="D112" s="21"/>
      <c r="E112" s="21"/>
      <c r="M112" s="21"/>
    </row>
    <row r="113" spans="4:13" ht="12.75" x14ac:dyDescent="0.2">
      <c r="D113" s="21"/>
      <c r="E113" s="21"/>
      <c r="M113" s="21"/>
    </row>
    <row r="114" spans="4:13" ht="12.75" x14ac:dyDescent="0.2">
      <c r="D114" s="21"/>
      <c r="E114" s="21"/>
      <c r="M114" s="21"/>
    </row>
    <row r="115" spans="4:13" ht="12.75" x14ac:dyDescent="0.2">
      <c r="D115" s="21"/>
      <c r="E115" s="21"/>
      <c r="M115" s="21"/>
    </row>
    <row r="116" spans="4:13" ht="12.75" x14ac:dyDescent="0.2">
      <c r="D116" s="21"/>
      <c r="E116" s="21"/>
      <c r="M116" s="21"/>
    </row>
    <row r="117" spans="4:13" ht="12.75" x14ac:dyDescent="0.2">
      <c r="D117" s="21"/>
      <c r="E117" s="21"/>
      <c r="M117" s="21"/>
    </row>
    <row r="118" spans="4:13" ht="12.75" x14ac:dyDescent="0.2">
      <c r="D118" s="21"/>
      <c r="E118" s="21"/>
      <c r="M118" s="21"/>
    </row>
    <row r="119" spans="4:13" ht="12.75" x14ac:dyDescent="0.2">
      <c r="D119" s="21"/>
      <c r="E119" s="21"/>
      <c r="M119" s="21"/>
    </row>
    <row r="120" spans="4:13" ht="12.75" x14ac:dyDescent="0.2">
      <c r="D120" s="21"/>
      <c r="E120" s="21"/>
      <c r="M120" s="21"/>
    </row>
    <row r="121" spans="4:13" ht="12.75" x14ac:dyDescent="0.2">
      <c r="D121" s="21"/>
      <c r="E121" s="21"/>
      <c r="M121" s="21"/>
    </row>
    <row r="122" spans="4:13" ht="12.75" x14ac:dyDescent="0.2">
      <c r="D122" s="21"/>
      <c r="E122" s="21"/>
      <c r="M122" s="21"/>
    </row>
    <row r="123" spans="4:13" ht="12.75" x14ac:dyDescent="0.2">
      <c r="D123" s="21"/>
      <c r="E123" s="21"/>
      <c r="M123" s="21"/>
    </row>
    <row r="124" spans="4:13" ht="12.75" x14ac:dyDescent="0.2">
      <c r="D124" s="21"/>
      <c r="E124" s="21"/>
      <c r="M124" s="21"/>
    </row>
    <row r="125" spans="4:13" ht="12.75" x14ac:dyDescent="0.2">
      <c r="D125" s="21"/>
      <c r="E125" s="21"/>
      <c r="M125" s="21"/>
    </row>
    <row r="126" spans="4:13" ht="12.75" x14ac:dyDescent="0.2">
      <c r="D126" s="21"/>
      <c r="E126" s="21"/>
      <c r="M126" s="21"/>
    </row>
    <row r="127" spans="4:13" ht="12.75" x14ac:dyDescent="0.2">
      <c r="D127" s="21"/>
      <c r="E127" s="21"/>
      <c r="M127" s="21"/>
    </row>
    <row r="128" spans="4:13" ht="12.75" x14ac:dyDescent="0.2">
      <c r="D128" s="21"/>
      <c r="E128" s="21"/>
      <c r="M128" s="21"/>
    </row>
    <row r="129" spans="4:13" ht="12.75" x14ac:dyDescent="0.2">
      <c r="D129" s="21"/>
      <c r="E129" s="21"/>
      <c r="M129" s="21"/>
    </row>
    <row r="130" spans="4:13" ht="12.75" x14ac:dyDescent="0.2">
      <c r="D130" s="21"/>
      <c r="E130" s="21"/>
      <c r="M130" s="21"/>
    </row>
    <row r="131" spans="4:13" ht="12.75" x14ac:dyDescent="0.2">
      <c r="D131" s="21"/>
      <c r="E131" s="21"/>
      <c r="M131" s="21"/>
    </row>
    <row r="132" spans="4:13" ht="12.75" x14ac:dyDescent="0.2">
      <c r="D132" s="21"/>
      <c r="E132" s="21"/>
      <c r="M132" s="21"/>
    </row>
    <row r="133" spans="4:13" ht="12.75" x14ac:dyDescent="0.2">
      <c r="D133" s="21"/>
      <c r="E133" s="21"/>
      <c r="M133" s="21"/>
    </row>
    <row r="134" spans="4:13" ht="12.75" x14ac:dyDescent="0.2">
      <c r="D134" s="21"/>
      <c r="E134" s="21"/>
      <c r="M134" s="21"/>
    </row>
    <row r="135" spans="4:13" ht="12.75" x14ac:dyDescent="0.2">
      <c r="D135" s="21"/>
      <c r="E135" s="21"/>
      <c r="M135" s="21"/>
    </row>
    <row r="136" spans="4:13" ht="12.75" x14ac:dyDescent="0.2">
      <c r="D136" s="21"/>
      <c r="E136" s="21"/>
      <c r="M136" s="21"/>
    </row>
    <row r="137" spans="4:13" ht="12.75" x14ac:dyDescent="0.2">
      <c r="D137" s="21"/>
      <c r="E137" s="21"/>
      <c r="M137" s="21"/>
    </row>
    <row r="138" spans="4:13" ht="12.75" x14ac:dyDescent="0.2">
      <c r="D138" s="21"/>
      <c r="E138" s="21"/>
      <c r="M138" s="21"/>
    </row>
    <row r="139" spans="4:13" ht="12.75" x14ac:dyDescent="0.2">
      <c r="D139" s="21"/>
      <c r="E139" s="21"/>
      <c r="M139" s="21"/>
    </row>
    <row r="140" spans="4:13" ht="12.75" x14ac:dyDescent="0.2">
      <c r="D140" s="21"/>
      <c r="E140" s="21"/>
      <c r="M140" s="21"/>
    </row>
    <row r="141" spans="4:13" ht="12.75" x14ac:dyDescent="0.2">
      <c r="D141" s="21"/>
      <c r="E141" s="21"/>
      <c r="M141" s="21"/>
    </row>
    <row r="142" spans="4:13" ht="12.75" x14ac:dyDescent="0.2">
      <c r="D142" s="21"/>
      <c r="E142" s="21"/>
      <c r="M142" s="21"/>
    </row>
    <row r="143" spans="4:13" ht="12.75" x14ac:dyDescent="0.2">
      <c r="D143" s="21"/>
      <c r="E143" s="21"/>
      <c r="M143" s="21"/>
    </row>
    <row r="144" spans="4:13" ht="12.75" x14ac:dyDescent="0.2">
      <c r="D144" s="21"/>
      <c r="E144" s="21"/>
      <c r="M144" s="21"/>
    </row>
    <row r="145" spans="4:13" ht="12.75" x14ac:dyDescent="0.2">
      <c r="D145" s="21"/>
      <c r="E145" s="21"/>
      <c r="M145" s="21"/>
    </row>
    <row r="146" spans="4:13" ht="12.75" x14ac:dyDescent="0.2">
      <c r="D146" s="21"/>
      <c r="E146" s="21"/>
      <c r="M146" s="21"/>
    </row>
    <row r="147" spans="4:13" ht="12.75" x14ac:dyDescent="0.2">
      <c r="D147" s="21"/>
      <c r="E147" s="21"/>
      <c r="M147" s="21"/>
    </row>
    <row r="148" spans="4:13" ht="12.75" x14ac:dyDescent="0.2">
      <c r="D148" s="21"/>
      <c r="E148" s="21"/>
      <c r="M148" s="21"/>
    </row>
    <row r="149" spans="4:13" ht="12.75" x14ac:dyDescent="0.2">
      <c r="D149" s="21"/>
      <c r="E149" s="21"/>
      <c r="M149" s="21"/>
    </row>
    <row r="150" spans="4:13" ht="12.75" x14ac:dyDescent="0.2">
      <c r="D150" s="21"/>
      <c r="E150" s="21"/>
      <c r="M150" s="21"/>
    </row>
    <row r="151" spans="4:13" ht="12.75" x14ac:dyDescent="0.2">
      <c r="D151" s="21"/>
      <c r="E151" s="21"/>
      <c r="M151" s="21"/>
    </row>
    <row r="152" spans="4:13" ht="12.75" x14ac:dyDescent="0.2">
      <c r="D152" s="21"/>
      <c r="E152" s="21"/>
      <c r="M152" s="21"/>
    </row>
    <row r="153" spans="4:13" ht="12.75" x14ac:dyDescent="0.2">
      <c r="D153" s="21"/>
      <c r="E153" s="21"/>
      <c r="M153" s="21"/>
    </row>
    <row r="154" spans="4:13" ht="12.75" x14ac:dyDescent="0.2">
      <c r="D154" s="21"/>
      <c r="E154" s="21"/>
      <c r="M154" s="21"/>
    </row>
    <row r="155" spans="4:13" ht="12.75" x14ac:dyDescent="0.2">
      <c r="D155" s="21"/>
      <c r="E155" s="21"/>
      <c r="M155" s="21"/>
    </row>
    <row r="156" spans="4:13" ht="12.75" x14ac:dyDescent="0.2">
      <c r="D156" s="21"/>
      <c r="E156" s="21"/>
      <c r="M156" s="21"/>
    </row>
    <row r="157" spans="4:13" ht="12.75" x14ac:dyDescent="0.2">
      <c r="D157" s="21"/>
      <c r="E157" s="21"/>
      <c r="M157" s="21"/>
    </row>
    <row r="158" spans="4:13" ht="12.75" x14ac:dyDescent="0.2">
      <c r="D158" s="21"/>
      <c r="E158" s="21"/>
      <c r="M158" s="21"/>
    </row>
    <row r="159" spans="4:13" ht="12.75" x14ac:dyDescent="0.2">
      <c r="D159" s="21"/>
      <c r="E159" s="21"/>
      <c r="M159" s="21"/>
    </row>
    <row r="160" spans="4:13" ht="12.75" x14ac:dyDescent="0.2">
      <c r="D160" s="21"/>
      <c r="E160" s="21"/>
      <c r="M160" s="21"/>
    </row>
    <row r="161" spans="4:13" ht="12.75" x14ac:dyDescent="0.2">
      <c r="D161" s="21"/>
      <c r="E161" s="21"/>
      <c r="M161" s="21"/>
    </row>
    <row r="162" spans="4:13" ht="12.75" x14ac:dyDescent="0.2">
      <c r="D162" s="21"/>
      <c r="E162" s="21"/>
      <c r="M162" s="21"/>
    </row>
    <row r="163" spans="4:13" ht="12.75" x14ac:dyDescent="0.2">
      <c r="D163" s="21"/>
      <c r="E163" s="21"/>
      <c r="M163" s="21"/>
    </row>
    <row r="164" spans="4:13" ht="12.75" x14ac:dyDescent="0.2">
      <c r="D164" s="21"/>
      <c r="E164" s="21"/>
      <c r="M164" s="21"/>
    </row>
    <row r="165" spans="4:13" ht="12.75" x14ac:dyDescent="0.2">
      <c r="D165" s="21"/>
      <c r="E165" s="21"/>
      <c r="M165" s="21"/>
    </row>
    <row r="166" spans="4:13" ht="12.75" x14ac:dyDescent="0.2">
      <c r="D166" s="21"/>
      <c r="E166" s="21"/>
      <c r="M166" s="21"/>
    </row>
    <row r="167" spans="4:13" ht="12.75" x14ac:dyDescent="0.2">
      <c r="D167" s="21"/>
      <c r="E167" s="21"/>
      <c r="M167" s="21"/>
    </row>
    <row r="168" spans="4:13" ht="12.75" x14ac:dyDescent="0.2">
      <c r="D168" s="21"/>
      <c r="E168" s="21"/>
      <c r="M168" s="21"/>
    </row>
    <row r="169" spans="4:13" ht="12.75" x14ac:dyDescent="0.2">
      <c r="D169" s="21"/>
      <c r="E169" s="21"/>
      <c r="M169" s="21"/>
    </row>
    <row r="170" spans="4:13" ht="12.75" x14ac:dyDescent="0.2">
      <c r="D170" s="21"/>
      <c r="E170" s="21"/>
      <c r="M170" s="21"/>
    </row>
    <row r="171" spans="4:13" ht="12.75" x14ac:dyDescent="0.2">
      <c r="D171" s="21"/>
      <c r="E171" s="21"/>
      <c r="M171" s="21"/>
    </row>
    <row r="172" spans="4:13" ht="12.75" x14ac:dyDescent="0.2">
      <c r="D172" s="21"/>
      <c r="E172" s="21"/>
      <c r="M172" s="21"/>
    </row>
    <row r="173" spans="4:13" ht="12.75" x14ac:dyDescent="0.2">
      <c r="D173" s="21"/>
      <c r="E173" s="21"/>
      <c r="M173" s="21"/>
    </row>
    <row r="174" spans="4:13" ht="12.75" x14ac:dyDescent="0.2">
      <c r="D174" s="21"/>
      <c r="E174" s="21"/>
      <c r="M174" s="21"/>
    </row>
    <row r="175" spans="4:13" ht="12.75" x14ac:dyDescent="0.2">
      <c r="D175" s="21"/>
      <c r="E175" s="21"/>
      <c r="M175" s="21"/>
    </row>
    <row r="176" spans="4:13" ht="12.75" x14ac:dyDescent="0.2">
      <c r="D176" s="21"/>
      <c r="E176" s="21"/>
      <c r="M176" s="21"/>
    </row>
    <row r="177" spans="4:13" ht="12.75" x14ac:dyDescent="0.2">
      <c r="D177" s="21"/>
      <c r="E177" s="21"/>
      <c r="M177" s="21"/>
    </row>
    <row r="178" spans="4:13" ht="12.75" x14ac:dyDescent="0.2">
      <c r="D178" s="21"/>
      <c r="E178" s="21"/>
      <c r="M178" s="21"/>
    </row>
    <row r="179" spans="4:13" ht="12.75" x14ac:dyDescent="0.2">
      <c r="D179" s="21"/>
      <c r="E179" s="21"/>
      <c r="M179" s="21"/>
    </row>
    <row r="180" spans="4:13" ht="12.75" x14ac:dyDescent="0.2">
      <c r="D180" s="21"/>
      <c r="E180" s="21"/>
      <c r="M180" s="21"/>
    </row>
    <row r="181" spans="4:13" ht="12.75" x14ac:dyDescent="0.2">
      <c r="D181" s="21"/>
      <c r="E181" s="21"/>
      <c r="M181" s="21"/>
    </row>
    <row r="182" spans="4:13" ht="12.75" x14ac:dyDescent="0.2">
      <c r="D182" s="21"/>
      <c r="E182" s="21"/>
      <c r="M182" s="21"/>
    </row>
    <row r="183" spans="4:13" ht="12.75" x14ac:dyDescent="0.2">
      <c r="D183" s="21"/>
      <c r="E183" s="21"/>
      <c r="M183" s="21"/>
    </row>
    <row r="184" spans="4:13" ht="12.75" x14ac:dyDescent="0.2">
      <c r="D184" s="21"/>
      <c r="E184" s="21"/>
      <c r="M184" s="21"/>
    </row>
    <row r="185" spans="4:13" ht="12.75" x14ac:dyDescent="0.2">
      <c r="D185" s="21"/>
      <c r="E185" s="21"/>
      <c r="M185" s="21"/>
    </row>
    <row r="186" spans="4:13" ht="12.75" x14ac:dyDescent="0.2">
      <c r="D186" s="21"/>
      <c r="E186" s="21"/>
      <c r="M186" s="21"/>
    </row>
    <row r="187" spans="4:13" ht="12.75" x14ac:dyDescent="0.2">
      <c r="D187" s="21"/>
      <c r="E187" s="21"/>
      <c r="M187" s="21"/>
    </row>
    <row r="188" spans="4:13" ht="12.75" x14ac:dyDescent="0.2">
      <c r="D188" s="21"/>
      <c r="E188" s="21"/>
      <c r="M188" s="21"/>
    </row>
    <row r="189" spans="4:13" ht="12.75" x14ac:dyDescent="0.2">
      <c r="D189" s="21"/>
      <c r="E189" s="21"/>
      <c r="M189" s="21"/>
    </row>
    <row r="190" spans="4:13" ht="12.75" x14ac:dyDescent="0.2">
      <c r="D190" s="21"/>
      <c r="E190" s="21"/>
      <c r="M190" s="21"/>
    </row>
    <row r="191" spans="4:13" ht="12.75" x14ac:dyDescent="0.2">
      <c r="D191" s="21"/>
      <c r="E191" s="21"/>
      <c r="M191" s="21"/>
    </row>
    <row r="192" spans="4:13" ht="12.75" x14ac:dyDescent="0.2">
      <c r="D192" s="21"/>
      <c r="E192" s="21"/>
      <c r="M192" s="21"/>
    </row>
    <row r="193" spans="4:13" ht="12.75" x14ac:dyDescent="0.2">
      <c r="D193" s="21"/>
      <c r="E193" s="21"/>
      <c r="M193" s="21"/>
    </row>
    <row r="194" spans="4:13" ht="12.75" x14ac:dyDescent="0.2">
      <c r="D194" s="21"/>
      <c r="E194" s="21"/>
      <c r="M194" s="21"/>
    </row>
    <row r="195" spans="4:13" ht="12.75" x14ac:dyDescent="0.2">
      <c r="D195" s="21"/>
      <c r="E195" s="21"/>
      <c r="M195" s="21"/>
    </row>
    <row r="196" spans="4:13" ht="12.75" x14ac:dyDescent="0.2">
      <c r="D196" s="21"/>
      <c r="E196" s="21"/>
      <c r="M196" s="21"/>
    </row>
    <row r="197" spans="4:13" ht="12.75" x14ac:dyDescent="0.2">
      <c r="D197" s="21"/>
      <c r="E197" s="21"/>
      <c r="M197" s="21"/>
    </row>
    <row r="198" spans="4:13" ht="12.75" x14ac:dyDescent="0.2">
      <c r="D198" s="21"/>
      <c r="E198" s="21"/>
      <c r="M198" s="21"/>
    </row>
    <row r="199" spans="4:13" ht="12.75" x14ac:dyDescent="0.2">
      <c r="D199" s="21"/>
      <c r="E199" s="21"/>
      <c r="M199" s="21"/>
    </row>
    <row r="200" spans="4:13" ht="12.75" x14ac:dyDescent="0.2">
      <c r="D200" s="21"/>
      <c r="E200" s="21"/>
      <c r="M200" s="21"/>
    </row>
    <row r="201" spans="4:13" ht="12.75" x14ac:dyDescent="0.2">
      <c r="D201" s="21"/>
      <c r="E201" s="21"/>
      <c r="M201" s="21"/>
    </row>
    <row r="202" spans="4:13" ht="12.75" x14ac:dyDescent="0.2">
      <c r="D202" s="21"/>
      <c r="E202" s="21"/>
      <c r="M202" s="21"/>
    </row>
    <row r="203" spans="4:13" ht="12.75" x14ac:dyDescent="0.2">
      <c r="D203" s="21"/>
      <c r="E203" s="21"/>
      <c r="M203" s="21"/>
    </row>
    <row r="204" spans="4:13" ht="12.75" x14ac:dyDescent="0.2">
      <c r="D204" s="21"/>
      <c r="E204" s="21"/>
      <c r="M204" s="21"/>
    </row>
    <row r="205" spans="4:13" ht="12.75" x14ac:dyDescent="0.2">
      <c r="D205" s="21"/>
      <c r="E205" s="21"/>
      <c r="M205" s="21"/>
    </row>
    <row r="206" spans="4:13" ht="12.75" x14ac:dyDescent="0.2">
      <c r="D206" s="21"/>
      <c r="E206" s="21"/>
      <c r="M206" s="21"/>
    </row>
    <row r="207" spans="4:13" ht="12.75" x14ac:dyDescent="0.2">
      <c r="D207" s="21"/>
      <c r="E207" s="21"/>
      <c r="M207" s="21"/>
    </row>
    <row r="208" spans="4:13" ht="12.75" x14ac:dyDescent="0.2">
      <c r="D208" s="21"/>
      <c r="E208" s="21"/>
      <c r="M208" s="21"/>
    </row>
    <row r="209" spans="4:13" ht="12.75" x14ac:dyDescent="0.2">
      <c r="D209" s="21"/>
      <c r="E209" s="21"/>
      <c r="M209" s="21"/>
    </row>
    <row r="210" spans="4:13" ht="12.75" x14ac:dyDescent="0.2">
      <c r="D210" s="21"/>
      <c r="E210" s="21"/>
      <c r="M210" s="21"/>
    </row>
    <row r="211" spans="4:13" ht="12.75" x14ac:dyDescent="0.2">
      <c r="D211" s="21"/>
      <c r="E211" s="21"/>
      <c r="M211" s="21"/>
    </row>
    <row r="212" spans="4:13" ht="12.75" x14ac:dyDescent="0.2">
      <c r="D212" s="21"/>
      <c r="E212" s="21"/>
      <c r="M212" s="21"/>
    </row>
    <row r="213" spans="4:13" ht="12.75" x14ac:dyDescent="0.2">
      <c r="D213" s="21"/>
      <c r="E213" s="21"/>
      <c r="M213" s="21"/>
    </row>
    <row r="214" spans="4:13" ht="12.75" x14ac:dyDescent="0.2">
      <c r="D214" s="21"/>
      <c r="E214" s="21"/>
      <c r="M214" s="21"/>
    </row>
    <row r="215" spans="4:13" ht="12.75" x14ac:dyDescent="0.2">
      <c r="D215" s="21"/>
      <c r="E215" s="21"/>
      <c r="M215" s="21"/>
    </row>
    <row r="216" spans="4:13" ht="12.75" x14ac:dyDescent="0.2">
      <c r="D216" s="21"/>
      <c r="E216" s="21"/>
      <c r="M216" s="21"/>
    </row>
    <row r="217" spans="4:13" ht="12.75" x14ac:dyDescent="0.2">
      <c r="D217" s="21"/>
      <c r="E217" s="21"/>
      <c r="M217" s="21"/>
    </row>
    <row r="218" spans="4:13" ht="12.75" x14ac:dyDescent="0.2">
      <c r="D218" s="21"/>
      <c r="E218" s="21"/>
      <c r="M218" s="21"/>
    </row>
    <row r="219" spans="4:13" ht="12.75" x14ac:dyDescent="0.2">
      <c r="D219" s="21"/>
      <c r="E219" s="21"/>
      <c r="M219" s="21"/>
    </row>
    <row r="220" spans="4:13" ht="12.75" x14ac:dyDescent="0.2">
      <c r="D220" s="21"/>
      <c r="E220" s="21"/>
      <c r="M220" s="21"/>
    </row>
    <row r="221" spans="4:13" ht="12.75" x14ac:dyDescent="0.2">
      <c r="D221" s="21"/>
      <c r="E221" s="21"/>
      <c r="M221" s="21"/>
    </row>
    <row r="222" spans="4:13" ht="12.75" x14ac:dyDescent="0.2">
      <c r="D222" s="21"/>
      <c r="E222" s="21"/>
      <c r="M222" s="21"/>
    </row>
    <row r="223" spans="4:13" ht="12.75" x14ac:dyDescent="0.2">
      <c r="D223" s="21"/>
      <c r="E223" s="21"/>
      <c r="M223" s="21"/>
    </row>
    <row r="224" spans="4:13" ht="12.75" x14ac:dyDescent="0.2">
      <c r="D224" s="21"/>
      <c r="E224" s="21"/>
      <c r="M224" s="21"/>
    </row>
    <row r="225" spans="4:13" ht="12.75" x14ac:dyDescent="0.2">
      <c r="D225" s="21"/>
      <c r="E225" s="21"/>
      <c r="M225" s="21"/>
    </row>
    <row r="226" spans="4:13" ht="12.75" x14ac:dyDescent="0.2">
      <c r="D226" s="21"/>
      <c r="E226" s="21"/>
      <c r="M226" s="21"/>
    </row>
    <row r="227" spans="4:13" ht="12.75" x14ac:dyDescent="0.2">
      <c r="D227" s="21"/>
      <c r="E227" s="21"/>
      <c r="M227" s="21"/>
    </row>
    <row r="228" spans="4:13" ht="12.75" x14ac:dyDescent="0.2">
      <c r="D228" s="21"/>
      <c r="E228" s="21"/>
      <c r="M228" s="21"/>
    </row>
    <row r="229" spans="4:13" ht="12.75" x14ac:dyDescent="0.2">
      <c r="D229" s="21"/>
      <c r="E229" s="21"/>
      <c r="M229" s="21"/>
    </row>
    <row r="230" spans="4:13" ht="12.75" x14ac:dyDescent="0.2">
      <c r="D230" s="21"/>
      <c r="E230" s="21"/>
      <c r="M230" s="21"/>
    </row>
    <row r="231" spans="4:13" ht="12.75" x14ac:dyDescent="0.2">
      <c r="D231" s="21"/>
      <c r="E231" s="21"/>
      <c r="M231" s="21"/>
    </row>
    <row r="232" spans="4:13" ht="12.75" x14ac:dyDescent="0.2">
      <c r="D232" s="21"/>
      <c r="E232" s="21"/>
      <c r="M232" s="21"/>
    </row>
    <row r="233" spans="4:13" ht="12.75" x14ac:dyDescent="0.2">
      <c r="D233" s="21"/>
      <c r="E233" s="21"/>
      <c r="M233" s="21"/>
    </row>
    <row r="234" spans="4:13" ht="12.75" x14ac:dyDescent="0.2">
      <c r="D234" s="21"/>
      <c r="E234" s="21"/>
      <c r="M234" s="21"/>
    </row>
    <row r="235" spans="4:13" ht="12.75" x14ac:dyDescent="0.2">
      <c r="D235" s="21"/>
      <c r="E235" s="21"/>
      <c r="M235" s="21"/>
    </row>
    <row r="236" spans="4:13" ht="12.75" x14ac:dyDescent="0.2">
      <c r="D236" s="21"/>
      <c r="E236" s="21"/>
      <c r="M236" s="21"/>
    </row>
    <row r="237" spans="4:13" ht="12.75" x14ac:dyDescent="0.2">
      <c r="D237" s="21"/>
      <c r="E237" s="21"/>
      <c r="M237" s="21"/>
    </row>
    <row r="238" spans="4:13" ht="12.75" x14ac:dyDescent="0.2">
      <c r="D238" s="21"/>
      <c r="E238" s="21"/>
      <c r="M238" s="21"/>
    </row>
    <row r="239" spans="4:13" ht="12.75" x14ac:dyDescent="0.2">
      <c r="D239" s="21"/>
      <c r="E239" s="21"/>
      <c r="M239" s="21"/>
    </row>
    <row r="240" spans="4:13" ht="12.75" x14ac:dyDescent="0.2">
      <c r="D240" s="21"/>
      <c r="E240" s="21"/>
      <c r="M240" s="21"/>
    </row>
    <row r="241" spans="4:13" ht="12.75" x14ac:dyDescent="0.2">
      <c r="D241" s="21"/>
      <c r="E241" s="21"/>
      <c r="M241" s="21"/>
    </row>
    <row r="242" spans="4:13" ht="12.75" x14ac:dyDescent="0.2">
      <c r="D242" s="21"/>
      <c r="E242" s="21"/>
      <c r="M242" s="21"/>
    </row>
    <row r="243" spans="4:13" ht="12.75" x14ac:dyDescent="0.2">
      <c r="D243" s="21"/>
      <c r="E243" s="21"/>
      <c r="M243" s="21"/>
    </row>
    <row r="244" spans="4:13" ht="12.75" x14ac:dyDescent="0.2">
      <c r="D244" s="21"/>
      <c r="E244" s="21"/>
      <c r="M244" s="21"/>
    </row>
    <row r="245" spans="4:13" ht="12.75" x14ac:dyDescent="0.2">
      <c r="D245" s="21"/>
      <c r="E245" s="21"/>
      <c r="M245" s="21"/>
    </row>
    <row r="246" spans="4:13" ht="12.75" x14ac:dyDescent="0.2">
      <c r="D246" s="21"/>
      <c r="E246" s="21"/>
      <c r="M246" s="21"/>
    </row>
    <row r="247" spans="4:13" ht="12.75" x14ac:dyDescent="0.2">
      <c r="D247" s="21"/>
      <c r="E247" s="21"/>
      <c r="M247" s="21"/>
    </row>
    <row r="248" spans="4:13" ht="12.75" x14ac:dyDescent="0.2">
      <c r="D248" s="21"/>
      <c r="E248" s="21"/>
      <c r="M248" s="21"/>
    </row>
    <row r="249" spans="4:13" ht="12.75" x14ac:dyDescent="0.2">
      <c r="D249" s="21"/>
      <c r="E249" s="21"/>
      <c r="M249" s="21"/>
    </row>
    <row r="250" spans="4:13" ht="12.75" x14ac:dyDescent="0.2">
      <c r="D250" s="21"/>
      <c r="E250" s="21"/>
      <c r="M250" s="21"/>
    </row>
    <row r="251" spans="4:13" ht="12.75" x14ac:dyDescent="0.2">
      <c r="D251" s="21"/>
      <c r="E251" s="21"/>
      <c r="M251" s="21"/>
    </row>
    <row r="252" spans="4:13" ht="12.75" x14ac:dyDescent="0.2">
      <c r="D252" s="21"/>
      <c r="E252" s="21"/>
      <c r="M252" s="21"/>
    </row>
    <row r="253" spans="4:13" ht="12.75" x14ac:dyDescent="0.2">
      <c r="D253" s="21"/>
      <c r="E253" s="21"/>
      <c r="M253" s="21"/>
    </row>
    <row r="254" spans="4:13" ht="12.75" x14ac:dyDescent="0.2">
      <c r="D254" s="21"/>
      <c r="E254" s="21"/>
      <c r="M254" s="21"/>
    </row>
    <row r="255" spans="4:13" ht="12.75" x14ac:dyDescent="0.2">
      <c r="D255" s="21"/>
      <c r="E255" s="21"/>
      <c r="M255" s="21"/>
    </row>
    <row r="256" spans="4:13" ht="12.75" x14ac:dyDescent="0.2">
      <c r="D256" s="21"/>
      <c r="E256" s="21"/>
      <c r="M256" s="21"/>
    </row>
    <row r="257" spans="4:13" ht="12.75" x14ac:dyDescent="0.2">
      <c r="D257" s="21"/>
      <c r="E257" s="21"/>
      <c r="M257" s="21"/>
    </row>
    <row r="258" spans="4:13" ht="12.75" x14ac:dyDescent="0.2">
      <c r="D258" s="21"/>
      <c r="E258" s="21"/>
      <c r="M258" s="21"/>
    </row>
    <row r="259" spans="4:13" ht="12.75" x14ac:dyDescent="0.2">
      <c r="D259" s="21"/>
      <c r="E259" s="21"/>
      <c r="M259" s="21"/>
    </row>
    <row r="260" spans="4:13" ht="12.75" x14ac:dyDescent="0.2">
      <c r="D260" s="21"/>
      <c r="E260" s="21"/>
      <c r="M260" s="21"/>
    </row>
    <row r="261" spans="4:13" ht="12.75" x14ac:dyDescent="0.2">
      <c r="D261" s="21"/>
      <c r="E261" s="21"/>
      <c r="M261" s="21"/>
    </row>
    <row r="262" spans="4:13" ht="12.75" x14ac:dyDescent="0.2">
      <c r="D262" s="21"/>
      <c r="E262" s="21"/>
      <c r="M262" s="21"/>
    </row>
    <row r="263" spans="4:13" ht="12.75" x14ac:dyDescent="0.2">
      <c r="D263" s="21"/>
      <c r="E263" s="21"/>
      <c r="M263" s="21"/>
    </row>
    <row r="264" spans="4:13" ht="12.75" x14ac:dyDescent="0.2">
      <c r="D264" s="21"/>
      <c r="E264" s="21"/>
      <c r="M264" s="21"/>
    </row>
    <row r="265" spans="4:13" ht="12.75" x14ac:dyDescent="0.2">
      <c r="D265" s="21"/>
      <c r="E265" s="21"/>
      <c r="M265" s="21"/>
    </row>
    <row r="266" spans="4:13" ht="12.75" x14ac:dyDescent="0.2">
      <c r="D266" s="21"/>
      <c r="E266" s="21"/>
      <c r="M266" s="21"/>
    </row>
    <row r="267" spans="4:13" ht="12.75" x14ac:dyDescent="0.2">
      <c r="D267" s="21"/>
      <c r="E267" s="21"/>
      <c r="M267" s="21"/>
    </row>
    <row r="268" spans="4:13" ht="12.75" x14ac:dyDescent="0.2">
      <c r="D268" s="21"/>
      <c r="E268" s="21"/>
      <c r="M268" s="21"/>
    </row>
    <row r="269" spans="4:13" ht="12.75" x14ac:dyDescent="0.2">
      <c r="D269" s="21"/>
      <c r="E269" s="21"/>
      <c r="M269" s="21"/>
    </row>
    <row r="270" spans="4:13" ht="12.75" x14ac:dyDescent="0.2">
      <c r="D270" s="21"/>
      <c r="E270" s="21"/>
      <c r="M270" s="21"/>
    </row>
    <row r="271" spans="4:13" ht="12.75" x14ac:dyDescent="0.2">
      <c r="D271" s="21"/>
      <c r="E271" s="21"/>
      <c r="M271" s="21"/>
    </row>
    <row r="272" spans="4:13" ht="12.75" x14ac:dyDescent="0.2">
      <c r="D272" s="21"/>
      <c r="E272" s="21"/>
      <c r="M272" s="21"/>
    </row>
    <row r="273" spans="4:13" ht="12.75" x14ac:dyDescent="0.2">
      <c r="D273" s="21"/>
      <c r="E273" s="21"/>
      <c r="M273" s="21"/>
    </row>
    <row r="274" spans="4:13" ht="12.75" x14ac:dyDescent="0.2">
      <c r="D274" s="21"/>
      <c r="E274" s="21"/>
      <c r="M274" s="21"/>
    </row>
    <row r="275" spans="4:13" ht="12.75" x14ac:dyDescent="0.2">
      <c r="D275" s="21"/>
      <c r="E275" s="21"/>
      <c r="M275" s="21"/>
    </row>
    <row r="276" spans="4:13" ht="12.75" x14ac:dyDescent="0.2">
      <c r="D276" s="21"/>
      <c r="E276" s="21"/>
      <c r="M276" s="21"/>
    </row>
    <row r="277" spans="4:13" ht="12.75" x14ac:dyDescent="0.2">
      <c r="D277" s="21"/>
      <c r="E277" s="21"/>
      <c r="M277" s="21"/>
    </row>
    <row r="278" spans="4:13" ht="12.75" x14ac:dyDescent="0.2">
      <c r="D278" s="21"/>
      <c r="E278" s="21"/>
      <c r="M278" s="21"/>
    </row>
    <row r="279" spans="4:13" ht="12.75" x14ac:dyDescent="0.2">
      <c r="D279" s="21"/>
      <c r="E279" s="21"/>
      <c r="M279" s="21"/>
    </row>
    <row r="280" spans="4:13" ht="12.75" x14ac:dyDescent="0.2">
      <c r="D280" s="21"/>
      <c r="E280" s="21"/>
      <c r="M280" s="21"/>
    </row>
    <row r="281" spans="4:13" ht="12.75" x14ac:dyDescent="0.2">
      <c r="D281" s="21"/>
      <c r="E281" s="21"/>
      <c r="M281" s="21"/>
    </row>
    <row r="282" spans="4:13" ht="12.75" x14ac:dyDescent="0.2">
      <c r="D282" s="21"/>
      <c r="E282" s="21"/>
      <c r="M282" s="21"/>
    </row>
    <row r="283" spans="4:13" ht="12.75" x14ac:dyDescent="0.2">
      <c r="D283" s="21"/>
      <c r="E283" s="21"/>
      <c r="M283" s="21"/>
    </row>
    <row r="284" spans="4:13" ht="12.75" x14ac:dyDescent="0.2">
      <c r="D284" s="21"/>
      <c r="E284" s="21"/>
      <c r="M284" s="21"/>
    </row>
    <row r="285" spans="4:13" ht="12.75" x14ac:dyDescent="0.2">
      <c r="D285" s="21"/>
      <c r="E285" s="21"/>
      <c r="M285" s="21"/>
    </row>
    <row r="286" spans="4:13" ht="12.75" x14ac:dyDescent="0.2">
      <c r="D286" s="21"/>
      <c r="E286" s="21"/>
      <c r="M286" s="21"/>
    </row>
    <row r="287" spans="4:13" ht="12.75" x14ac:dyDescent="0.2">
      <c r="D287" s="21"/>
      <c r="E287" s="21"/>
      <c r="M287" s="21"/>
    </row>
    <row r="288" spans="4:13" ht="12.75" x14ac:dyDescent="0.2">
      <c r="D288" s="21"/>
      <c r="E288" s="21"/>
      <c r="M288" s="21"/>
    </row>
    <row r="289" spans="4:13" ht="12.75" x14ac:dyDescent="0.2">
      <c r="D289" s="21"/>
      <c r="E289" s="21"/>
      <c r="M289" s="21"/>
    </row>
    <row r="290" spans="4:13" ht="12.75" x14ac:dyDescent="0.2">
      <c r="D290" s="21"/>
      <c r="E290" s="21"/>
      <c r="M290" s="21"/>
    </row>
    <row r="291" spans="4:13" ht="12.75" x14ac:dyDescent="0.2">
      <c r="D291" s="21"/>
      <c r="E291" s="21"/>
      <c r="M291" s="21"/>
    </row>
    <row r="292" spans="4:13" ht="12.75" x14ac:dyDescent="0.2">
      <c r="D292" s="21"/>
      <c r="E292" s="21"/>
      <c r="M292" s="21"/>
    </row>
    <row r="293" spans="4:13" ht="12.75" x14ac:dyDescent="0.2">
      <c r="D293" s="21"/>
      <c r="E293" s="21"/>
      <c r="M293" s="21"/>
    </row>
    <row r="294" spans="4:13" ht="12.75" x14ac:dyDescent="0.2">
      <c r="D294" s="21"/>
      <c r="E294" s="21"/>
      <c r="M294" s="21"/>
    </row>
    <row r="295" spans="4:13" ht="12.75" x14ac:dyDescent="0.2">
      <c r="D295" s="21"/>
      <c r="E295" s="21"/>
      <c r="M295" s="21"/>
    </row>
    <row r="296" spans="4:13" ht="12.75" x14ac:dyDescent="0.2">
      <c r="D296" s="21"/>
      <c r="E296" s="21"/>
      <c r="M296" s="21"/>
    </row>
    <row r="297" spans="4:13" ht="12.75" x14ac:dyDescent="0.2">
      <c r="D297" s="21"/>
      <c r="E297" s="21"/>
      <c r="M297" s="21"/>
    </row>
    <row r="298" spans="4:13" ht="12.75" x14ac:dyDescent="0.2">
      <c r="D298" s="21"/>
      <c r="E298" s="21"/>
      <c r="M298" s="21"/>
    </row>
    <row r="299" spans="4:13" ht="12.75" x14ac:dyDescent="0.2">
      <c r="D299" s="21"/>
      <c r="E299" s="21"/>
      <c r="M299" s="21"/>
    </row>
    <row r="300" spans="4:13" ht="12.75" x14ac:dyDescent="0.2">
      <c r="D300" s="21"/>
      <c r="E300" s="21"/>
      <c r="M300" s="21"/>
    </row>
    <row r="301" spans="4:13" ht="12.75" x14ac:dyDescent="0.2">
      <c r="D301" s="21"/>
      <c r="E301" s="21"/>
      <c r="M301" s="21"/>
    </row>
    <row r="302" spans="4:13" ht="12.75" x14ac:dyDescent="0.2">
      <c r="D302" s="21"/>
      <c r="E302" s="21"/>
      <c r="M302" s="21"/>
    </row>
    <row r="303" spans="4:13" ht="12.75" x14ac:dyDescent="0.2">
      <c r="D303" s="21"/>
      <c r="E303" s="21"/>
      <c r="M303" s="21"/>
    </row>
    <row r="304" spans="4:13" ht="12.75" x14ac:dyDescent="0.2">
      <c r="D304" s="21"/>
      <c r="E304" s="21"/>
      <c r="M304" s="21"/>
    </row>
    <row r="305" spans="4:13" ht="12.75" x14ac:dyDescent="0.2">
      <c r="D305" s="21"/>
      <c r="E305" s="21"/>
      <c r="M305" s="21"/>
    </row>
    <row r="306" spans="4:13" ht="12.75" x14ac:dyDescent="0.2">
      <c r="D306" s="21"/>
      <c r="E306" s="21"/>
      <c r="M306" s="21"/>
    </row>
    <row r="307" spans="4:13" ht="12.75" x14ac:dyDescent="0.2">
      <c r="D307" s="21"/>
      <c r="E307" s="21"/>
      <c r="M307" s="21"/>
    </row>
    <row r="308" spans="4:13" ht="12.75" x14ac:dyDescent="0.2">
      <c r="D308" s="21"/>
      <c r="E308" s="21"/>
      <c r="M308" s="21"/>
    </row>
    <row r="309" spans="4:13" ht="12.75" x14ac:dyDescent="0.2">
      <c r="D309" s="21"/>
      <c r="E309" s="21"/>
      <c r="M309" s="21"/>
    </row>
    <row r="310" spans="4:13" ht="12.75" x14ac:dyDescent="0.2">
      <c r="D310" s="21"/>
      <c r="E310" s="21"/>
      <c r="M310" s="21"/>
    </row>
    <row r="311" spans="4:13" ht="12.75" x14ac:dyDescent="0.2">
      <c r="D311" s="21"/>
      <c r="E311" s="21"/>
      <c r="M311" s="21"/>
    </row>
    <row r="312" spans="4:13" ht="12.75" x14ac:dyDescent="0.2">
      <c r="D312" s="21"/>
      <c r="E312" s="21"/>
      <c r="M312" s="21"/>
    </row>
    <row r="313" spans="4:13" ht="12.75" x14ac:dyDescent="0.2">
      <c r="D313" s="21"/>
      <c r="E313" s="21"/>
      <c r="M313" s="21"/>
    </row>
    <row r="314" spans="4:13" ht="12.75" x14ac:dyDescent="0.2">
      <c r="D314" s="21"/>
      <c r="E314" s="21"/>
      <c r="M314" s="21"/>
    </row>
    <row r="315" spans="4:13" ht="12.75" x14ac:dyDescent="0.2">
      <c r="D315" s="21"/>
      <c r="E315" s="21"/>
      <c r="M315" s="21"/>
    </row>
    <row r="316" spans="4:13" ht="12.75" x14ac:dyDescent="0.2">
      <c r="D316" s="21"/>
      <c r="E316" s="21"/>
      <c r="M316" s="21"/>
    </row>
    <row r="317" spans="4:13" ht="12.75" x14ac:dyDescent="0.2">
      <c r="D317" s="21"/>
      <c r="E317" s="21"/>
      <c r="M317" s="21"/>
    </row>
    <row r="318" spans="4:13" ht="12.75" x14ac:dyDescent="0.2">
      <c r="D318" s="21"/>
      <c r="E318" s="21"/>
      <c r="M318" s="21"/>
    </row>
    <row r="319" spans="4:13" ht="12.75" x14ac:dyDescent="0.2">
      <c r="D319" s="21"/>
      <c r="E319" s="21"/>
      <c r="M319" s="21"/>
    </row>
    <row r="320" spans="4:13" ht="12.75" x14ac:dyDescent="0.2">
      <c r="D320" s="21"/>
      <c r="E320" s="21"/>
      <c r="M320" s="21"/>
    </row>
    <row r="321" spans="4:13" ht="12.75" x14ac:dyDescent="0.2">
      <c r="D321" s="21"/>
      <c r="E321" s="21"/>
      <c r="M321" s="21"/>
    </row>
    <row r="322" spans="4:13" ht="12.75" x14ac:dyDescent="0.2">
      <c r="D322" s="21"/>
      <c r="E322" s="21"/>
      <c r="M322" s="21"/>
    </row>
    <row r="323" spans="4:13" ht="12.75" x14ac:dyDescent="0.2">
      <c r="D323" s="21"/>
      <c r="E323" s="21"/>
      <c r="M323" s="21"/>
    </row>
    <row r="324" spans="4:13" ht="12.75" x14ac:dyDescent="0.2">
      <c r="D324" s="21"/>
      <c r="E324" s="21"/>
      <c r="M324" s="21"/>
    </row>
    <row r="325" spans="4:13" ht="12.75" x14ac:dyDescent="0.2">
      <c r="D325" s="21"/>
      <c r="E325" s="21"/>
      <c r="M325" s="21"/>
    </row>
    <row r="326" spans="4:13" ht="12.75" x14ac:dyDescent="0.2">
      <c r="D326" s="21"/>
      <c r="E326" s="21"/>
      <c r="M326" s="21"/>
    </row>
    <row r="327" spans="4:13" ht="12.75" x14ac:dyDescent="0.2">
      <c r="D327" s="21"/>
      <c r="E327" s="21"/>
      <c r="M327" s="21"/>
    </row>
    <row r="328" spans="4:13" ht="12.75" x14ac:dyDescent="0.2">
      <c r="D328" s="21"/>
      <c r="E328" s="21"/>
      <c r="M328" s="21"/>
    </row>
    <row r="329" spans="4:13" ht="12.75" x14ac:dyDescent="0.2">
      <c r="D329" s="21"/>
      <c r="E329" s="21"/>
      <c r="M329" s="21"/>
    </row>
    <row r="330" spans="4:13" ht="12.75" x14ac:dyDescent="0.2">
      <c r="D330" s="21"/>
      <c r="E330" s="21"/>
      <c r="M330" s="21"/>
    </row>
    <row r="331" spans="4:13" ht="12.75" x14ac:dyDescent="0.2">
      <c r="D331" s="21"/>
      <c r="E331" s="21"/>
      <c r="M331" s="21"/>
    </row>
    <row r="332" spans="4:13" ht="12.75" x14ac:dyDescent="0.2">
      <c r="D332" s="21"/>
      <c r="E332" s="21"/>
      <c r="M332" s="21"/>
    </row>
    <row r="333" spans="4:13" ht="12.75" x14ac:dyDescent="0.2">
      <c r="D333" s="21"/>
      <c r="E333" s="21"/>
      <c r="M333" s="21"/>
    </row>
    <row r="334" spans="4:13" ht="12.75" x14ac:dyDescent="0.2">
      <c r="D334" s="21"/>
      <c r="E334" s="21"/>
      <c r="M334" s="21"/>
    </row>
    <row r="335" spans="4:13" ht="12.75" x14ac:dyDescent="0.2">
      <c r="D335" s="21"/>
      <c r="E335" s="21"/>
      <c r="M335" s="21"/>
    </row>
    <row r="336" spans="4:13" ht="12.75" x14ac:dyDescent="0.2">
      <c r="D336" s="21"/>
      <c r="E336" s="21"/>
      <c r="M336" s="21"/>
    </row>
    <row r="337" spans="4:13" ht="12.75" x14ac:dyDescent="0.2">
      <c r="D337" s="21"/>
      <c r="E337" s="21"/>
      <c r="M337" s="21"/>
    </row>
    <row r="338" spans="4:13" ht="12.75" x14ac:dyDescent="0.2">
      <c r="D338" s="21"/>
      <c r="E338" s="21"/>
      <c r="M338" s="21"/>
    </row>
    <row r="339" spans="4:13" ht="12.75" x14ac:dyDescent="0.2">
      <c r="D339" s="21"/>
      <c r="E339" s="21"/>
      <c r="M339" s="21"/>
    </row>
    <row r="340" spans="4:13" ht="12.75" x14ac:dyDescent="0.2">
      <c r="D340" s="21"/>
      <c r="E340" s="21"/>
      <c r="M340" s="21"/>
    </row>
    <row r="341" spans="4:13" ht="12.75" x14ac:dyDescent="0.2">
      <c r="D341" s="21"/>
      <c r="E341" s="21"/>
      <c r="M341" s="21"/>
    </row>
    <row r="342" spans="4:13" ht="12.75" x14ac:dyDescent="0.2">
      <c r="D342" s="21"/>
      <c r="E342" s="21"/>
      <c r="M342" s="21"/>
    </row>
    <row r="343" spans="4:13" ht="12.75" x14ac:dyDescent="0.2">
      <c r="D343" s="21"/>
      <c r="E343" s="21"/>
      <c r="M343" s="21"/>
    </row>
    <row r="344" spans="4:13" ht="12.75" x14ac:dyDescent="0.2">
      <c r="D344" s="21"/>
      <c r="E344" s="21"/>
      <c r="M344" s="21"/>
    </row>
    <row r="345" spans="4:13" ht="12.75" x14ac:dyDescent="0.2">
      <c r="D345" s="21"/>
      <c r="E345" s="21"/>
      <c r="M345" s="21"/>
    </row>
    <row r="346" spans="4:13" ht="12.75" x14ac:dyDescent="0.2">
      <c r="D346" s="21"/>
      <c r="E346" s="21"/>
      <c r="M346" s="21"/>
    </row>
    <row r="347" spans="4:13" ht="12.75" x14ac:dyDescent="0.2">
      <c r="D347" s="21"/>
      <c r="E347" s="21"/>
      <c r="M347" s="21"/>
    </row>
    <row r="348" spans="4:13" ht="12.75" x14ac:dyDescent="0.2">
      <c r="D348" s="21"/>
      <c r="E348" s="21"/>
      <c r="M348" s="21"/>
    </row>
    <row r="349" spans="4:13" ht="12.75" x14ac:dyDescent="0.2">
      <c r="D349" s="21"/>
      <c r="E349" s="21"/>
      <c r="M349" s="21"/>
    </row>
    <row r="350" spans="4:13" ht="12.75" x14ac:dyDescent="0.2">
      <c r="D350" s="21"/>
      <c r="E350" s="21"/>
      <c r="M350" s="21"/>
    </row>
    <row r="351" spans="4:13" ht="12.75" x14ac:dyDescent="0.2">
      <c r="D351" s="21"/>
      <c r="E351" s="21"/>
      <c r="M351" s="21"/>
    </row>
    <row r="352" spans="4:13" ht="12.75" x14ac:dyDescent="0.2">
      <c r="D352" s="21"/>
      <c r="E352" s="21"/>
      <c r="M352" s="21"/>
    </row>
    <row r="353" spans="4:13" ht="12.75" x14ac:dyDescent="0.2">
      <c r="D353" s="21"/>
      <c r="E353" s="21"/>
      <c r="M353" s="21"/>
    </row>
    <row r="354" spans="4:13" ht="12.75" x14ac:dyDescent="0.2">
      <c r="D354" s="21"/>
      <c r="E354" s="21"/>
      <c r="M354" s="21"/>
    </row>
    <row r="355" spans="4:13" ht="12.75" x14ac:dyDescent="0.2">
      <c r="D355" s="21"/>
      <c r="E355" s="21"/>
      <c r="M355" s="21"/>
    </row>
    <row r="356" spans="4:13" ht="12.75" x14ac:dyDescent="0.2">
      <c r="D356" s="21"/>
      <c r="E356" s="21"/>
      <c r="M356" s="21"/>
    </row>
    <row r="357" spans="4:13" ht="12.75" x14ac:dyDescent="0.2">
      <c r="D357" s="21"/>
      <c r="E357" s="21"/>
      <c r="M357" s="21"/>
    </row>
    <row r="358" spans="4:13" ht="12.75" x14ac:dyDescent="0.2">
      <c r="D358" s="21"/>
      <c r="E358" s="21"/>
      <c r="M358" s="21"/>
    </row>
    <row r="359" spans="4:13" ht="12.75" x14ac:dyDescent="0.2">
      <c r="D359" s="21"/>
      <c r="E359" s="21"/>
      <c r="M359" s="21"/>
    </row>
    <row r="360" spans="4:13" ht="12.75" x14ac:dyDescent="0.2">
      <c r="D360" s="21"/>
      <c r="E360" s="21"/>
      <c r="M360" s="21"/>
    </row>
    <row r="361" spans="4:13" ht="12.75" x14ac:dyDescent="0.2">
      <c r="D361" s="21"/>
      <c r="E361" s="21"/>
      <c r="M361" s="21"/>
    </row>
    <row r="362" spans="4:13" ht="12.75" x14ac:dyDescent="0.2">
      <c r="D362" s="21"/>
      <c r="E362" s="21"/>
      <c r="M362" s="21"/>
    </row>
    <row r="363" spans="4:13" ht="12.75" x14ac:dyDescent="0.2">
      <c r="D363" s="21"/>
      <c r="E363" s="21"/>
      <c r="M363" s="21"/>
    </row>
    <row r="364" spans="4:13" ht="12.75" x14ac:dyDescent="0.2">
      <c r="D364" s="21"/>
      <c r="E364" s="21"/>
      <c r="M364" s="21"/>
    </row>
    <row r="365" spans="4:13" ht="12.75" x14ac:dyDescent="0.2">
      <c r="D365" s="21"/>
      <c r="E365" s="21"/>
      <c r="M365" s="21"/>
    </row>
    <row r="366" spans="4:13" ht="12.75" x14ac:dyDescent="0.2">
      <c r="D366" s="21"/>
      <c r="E366" s="21"/>
      <c r="M366" s="21"/>
    </row>
    <row r="367" spans="4:13" ht="12.75" x14ac:dyDescent="0.2">
      <c r="D367" s="21"/>
      <c r="E367" s="21"/>
      <c r="M367" s="21"/>
    </row>
    <row r="368" spans="4:13" ht="12.75" x14ac:dyDescent="0.2">
      <c r="D368" s="21"/>
      <c r="E368" s="21"/>
      <c r="M368" s="21"/>
    </row>
    <row r="369" spans="4:13" ht="12.75" x14ac:dyDescent="0.2">
      <c r="D369" s="21"/>
      <c r="E369" s="21"/>
      <c r="M369" s="21"/>
    </row>
    <row r="370" spans="4:13" ht="12.75" x14ac:dyDescent="0.2">
      <c r="D370" s="21"/>
      <c r="E370" s="21"/>
      <c r="M370" s="21"/>
    </row>
    <row r="371" spans="4:13" ht="12.75" x14ac:dyDescent="0.2">
      <c r="D371" s="21"/>
      <c r="E371" s="21"/>
      <c r="M371" s="21"/>
    </row>
    <row r="372" spans="4:13" ht="12.75" x14ac:dyDescent="0.2">
      <c r="D372" s="21"/>
      <c r="E372" s="21"/>
      <c r="M372" s="21"/>
    </row>
    <row r="373" spans="4:13" ht="12.75" x14ac:dyDescent="0.2">
      <c r="D373" s="21"/>
      <c r="E373" s="21"/>
      <c r="M373" s="21"/>
    </row>
    <row r="374" spans="4:13" ht="12.75" x14ac:dyDescent="0.2">
      <c r="D374" s="21"/>
      <c r="E374" s="21"/>
      <c r="M374" s="21"/>
    </row>
    <row r="375" spans="4:13" ht="12.75" x14ac:dyDescent="0.2">
      <c r="D375" s="21"/>
      <c r="E375" s="21"/>
      <c r="M375" s="21"/>
    </row>
    <row r="376" spans="4:13" ht="12.75" x14ac:dyDescent="0.2">
      <c r="D376" s="21"/>
      <c r="E376" s="21"/>
      <c r="M376" s="21"/>
    </row>
    <row r="377" spans="4:13" ht="12.75" x14ac:dyDescent="0.2">
      <c r="D377" s="21"/>
      <c r="E377" s="21"/>
      <c r="M377" s="21"/>
    </row>
    <row r="378" spans="4:13" ht="12.75" x14ac:dyDescent="0.2">
      <c r="D378" s="21"/>
      <c r="E378" s="21"/>
      <c r="M378" s="21"/>
    </row>
    <row r="379" spans="4:13" ht="12.75" x14ac:dyDescent="0.2">
      <c r="D379" s="21"/>
      <c r="E379" s="21"/>
      <c r="M379" s="21"/>
    </row>
    <row r="380" spans="4:13" ht="12.75" x14ac:dyDescent="0.2">
      <c r="D380" s="21"/>
      <c r="E380" s="21"/>
      <c r="M380" s="21"/>
    </row>
    <row r="381" spans="4:13" ht="12.75" x14ac:dyDescent="0.2">
      <c r="D381" s="21"/>
      <c r="E381" s="21"/>
      <c r="M381" s="21"/>
    </row>
    <row r="382" spans="4:13" ht="12.75" x14ac:dyDescent="0.2">
      <c r="D382" s="21"/>
      <c r="E382" s="21"/>
      <c r="M382" s="21"/>
    </row>
    <row r="383" spans="4:13" ht="12.75" x14ac:dyDescent="0.2">
      <c r="D383" s="21"/>
      <c r="E383" s="21"/>
      <c r="M383" s="21"/>
    </row>
    <row r="384" spans="4:13" ht="12.75" x14ac:dyDescent="0.2">
      <c r="D384" s="21"/>
      <c r="E384" s="21"/>
      <c r="M384" s="21"/>
    </row>
    <row r="385" spans="4:13" ht="12.75" x14ac:dyDescent="0.2">
      <c r="D385" s="21"/>
      <c r="E385" s="21"/>
      <c r="M385" s="21"/>
    </row>
    <row r="386" spans="4:13" ht="12.75" x14ac:dyDescent="0.2">
      <c r="D386" s="21"/>
      <c r="E386" s="21"/>
      <c r="M386" s="21"/>
    </row>
    <row r="387" spans="4:13" ht="12.75" x14ac:dyDescent="0.2">
      <c r="D387" s="21"/>
      <c r="E387" s="21"/>
      <c r="M387" s="21"/>
    </row>
    <row r="388" spans="4:13" ht="12.75" x14ac:dyDescent="0.2">
      <c r="D388" s="21"/>
      <c r="E388" s="21"/>
      <c r="M388" s="21"/>
    </row>
    <row r="389" spans="4:13" ht="12.75" x14ac:dyDescent="0.2">
      <c r="D389" s="21"/>
      <c r="E389" s="21"/>
      <c r="M389" s="21"/>
    </row>
    <row r="390" spans="4:13" ht="12.75" x14ac:dyDescent="0.2">
      <c r="D390" s="21"/>
      <c r="E390" s="21"/>
      <c r="M390" s="21"/>
    </row>
    <row r="391" spans="4:13" ht="12.75" x14ac:dyDescent="0.2">
      <c r="D391" s="21"/>
      <c r="E391" s="21"/>
      <c r="M391" s="21"/>
    </row>
    <row r="392" spans="4:13" ht="12.75" x14ac:dyDescent="0.2">
      <c r="D392" s="21"/>
      <c r="E392" s="21"/>
      <c r="M392" s="21"/>
    </row>
    <row r="393" spans="4:13" ht="12.75" x14ac:dyDescent="0.2">
      <c r="D393" s="21"/>
      <c r="E393" s="21"/>
      <c r="M393" s="21"/>
    </row>
    <row r="394" spans="4:13" ht="12.75" x14ac:dyDescent="0.2">
      <c r="D394" s="21"/>
      <c r="E394" s="21"/>
      <c r="M394" s="21"/>
    </row>
    <row r="395" spans="4:13" ht="12.75" x14ac:dyDescent="0.2">
      <c r="D395" s="21"/>
      <c r="E395" s="21"/>
      <c r="M395" s="21"/>
    </row>
    <row r="396" spans="4:13" ht="12.75" x14ac:dyDescent="0.2">
      <c r="D396" s="21"/>
      <c r="E396" s="21"/>
      <c r="M396" s="21"/>
    </row>
    <row r="397" spans="4:13" ht="12.75" x14ac:dyDescent="0.2">
      <c r="D397" s="21"/>
      <c r="E397" s="21"/>
      <c r="M397" s="21"/>
    </row>
    <row r="398" spans="4:13" ht="12.75" x14ac:dyDescent="0.2">
      <c r="D398" s="21"/>
      <c r="E398" s="21"/>
      <c r="M398" s="21"/>
    </row>
    <row r="399" spans="4:13" ht="12.75" x14ac:dyDescent="0.2">
      <c r="D399" s="21"/>
      <c r="E399" s="21"/>
      <c r="M399" s="21"/>
    </row>
    <row r="400" spans="4:13" ht="12.75" x14ac:dyDescent="0.2">
      <c r="D400" s="21"/>
      <c r="E400" s="21"/>
      <c r="M400" s="21"/>
    </row>
    <row r="401" spans="4:13" ht="12.75" x14ac:dyDescent="0.2">
      <c r="D401" s="21"/>
      <c r="E401" s="21"/>
      <c r="M401" s="21"/>
    </row>
    <row r="402" spans="4:13" ht="12.75" x14ac:dyDescent="0.2">
      <c r="D402" s="21"/>
      <c r="E402" s="21"/>
      <c r="M402" s="21"/>
    </row>
    <row r="403" spans="4:13" ht="12.75" x14ac:dyDescent="0.2">
      <c r="D403" s="21"/>
      <c r="E403" s="21"/>
      <c r="M403" s="21"/>
    </row>
    <row r="404" spans="4:13" ht="12.75" x14ac:dyDescent="0.2">
      <c r="D404" s="21"/>
      <c r="E404" s="21"/>
      <c r="M404" s="21"/>
    </row>
    <row r="405" spans="4:13" ht="12.75" x14ac:dyDescent="0.2">
      <c r="D405" s="21"/>
      <c r="E405" s="21"/>
      <c r="M405" s="21"/>
    </row>
    <row r="406" spans="4:13" ht="12.75" x14ac:dyDescent="0.2">
      <c r="D406" s="21"/>
      <c r="E406" s="21"/>
      <c r="M406" s="21"/>
    </row>
    <row r="407" spans="4:13" ht="12.75" x14ac:dyDescent="0.2">
      <c r="D407" s="21"/>
      <c r="E407" s="21"/>
      <c r="M407" s="21"/>
    </row>
    <row r="408" spans="4:13" ht="12.75" x14ac:dyDescent="0.2">
      <c r="D408" s="21"/>
      <c r="E408" s="21"/>
      <c r="M408" s="21"/>
    </row>
    <row r="409" spans="4:13" ht="12.75" x14ac:dyDescent="0.2">
      <c r="D409" s="21"/>
      <c r="E409" s="21"/>
      <c r="M409" s="21"/>
    </row>
    <row r="410" spans="4:13" ht="12.75" x14ac:dyDescent="0.2">
      <c r="D410" s="21"/>
      <c r="E410" s="21"/>
      <c r="M410" s="21"/>
    </row>
    <row r="411" spans="4:13" ht="12.75" x14ac:dyDescent="0.2">
      <c r="D411" s="21"/>
      <c r="E411" s="21"/>
      <c r="M411" s="21"/>
    </row>
    <row r="412" spans="4:13" ht="12.75" x14ac:dyDescent="0.2">
      <c r="D412" s="21"/>
      <c r="E412" s="21"/>
      <c r="M412" s="21"/>
    </row>
    <row r="413" spans="4:13" ht="12.75" x14ac:dyDescent="0.2">
      <c r="D413" s="21"/>
      <c r="E413" s="21"/>
      <c r="M413" s="21"/>
    </row>
    <row r="414" spans="4:13" ht="12.75" x14ac:dyDescent="0.2">
      <c r="D414" s="21"/>
      <c r="E414" s="21"/>
      <c r="M414" s="21"/>
    </row>
    <row r="415" spans="4:13" ht="12.75" x14ac:dyDescent="0.2">
      <c r="D415" s="21"/>
      <c r="E415" s="21"/>
      <c r="M415" s="21"/>
    </row>
    <row r="416" spans="4:13" ht="12.75" x14ac:dyDescent="0.2">
      <c r="D416" s="21"/>
      <c r="E416" s="21"/>
      <c r="M416" s="21"/>
    </row>
    <row r="417" spans="4:13" ht="12.75" x14ac:dyDescent="0.2">
      <c r="D417" s="21"/>
      <c r="E417" s="21"/>
      <c r="M417" s="21"/>
    </row>
    <row r="418" spans="4:13" ht="12.75" x14ac:dyDescent="0.2">
      <c r="D418" s="21"/>
      <c r="E418" s="21"/>
      <c r="M418" s="21"/>
    </row>
    <row r="419" spans="4:13" ht="12.75" x14ac:dyDescent="0.2">
      <c r="D419" s="21"/>
      <c r="E419" s="21"/>
      <c r="M419" s="21"/>
    </row>
    <row r="420" spans="4:13" ht="12.75" x14ac:dyDescent="0.2">
      <c r="D420" s="21"/>
      <c r="E420" s="21"/>
      <c r="M420" s="21"/>
    </row>
    <row r="421" spans="4:13" ht="12.75" x14ac:dyDescent="0.2">
      <c r="D421" s="21"/>
      <c r="E421" s="21"/>
      <c r="M421" s="21"/>
    </row>
    <row r="422" spans="4:13" ht="12.75" x14ac:dyDescent="0.2">
      <c r="D422" s="21"/>
      <c r="E422" s="21"/>
      <c r="M422" s="21"/>
    </row>
    <row r="423" spans="4:13" ht="12.75" x14ac:dyDescent="0.2">
      <c r="D423" s="21"/>
      <c r="E423" s="21"/>
      <c r="M423" s="21"/>
    </row>
    <row r="424" spans="4:13" ht="12.75" x14ac:dyDescent="0.2">
      <c r="D424" s="21"/>
      <c r="E424" s="21"/>
      <c r="M424" s="21"/>
    </row>
    <row r="425" spans="4:13" ht="12.75" x14ac:dyDescent="0.2">
      <c r="D425" s="21"/>
      <c r="E425" s="21"/>
      <c r="M425" s="21"/>
    </row>
    <row r="426" spans="4:13" ht="12.75" x14ac:dyDescent="0.2">
      <c r="D426" s="21"/>
      <c r="E426" s="21"/>
      <c r="M426" s="21"/>
    </row>
    <row r="427" spans="4:13" ht="12.75" x14ac:dyDescent="0.2">
      <c r="D427" s="21"/>
      <c r="E427" s="21"/>
      <c r="M427" s="21"/>
    </row>
    <row r="428" spans="4:13" ht="12.75" x14ac:dyDescent="0.2">
      <c r="D428" s="21"/>
      <c r="E428" s="21"/>
      <c r="M428" s="21"/>
    </row>
    <row r="429" spans="4:13" ht="12.75" x14ac:dyDescent="0.2">
      <c r="D429" s="21"/>
      <c r="E429" s="21"/>
      <c r="M429" s="21"/>
    </row>
    <row r="430" spans="4:13" ht="12.75" x14ac:dyDescent="0.2">
      <c r="D430" s="21"/>
      <c r="E430" s="21"/>
      <c r="M430" s="21"/>
    </row>
    <row r="431" spans="4:13" ht="12.75" x14ac:dyDescent="0.2">
      <c r="D431" s="21"/>
      <c r="E431" s="21"/>
      <c r="M431" s="21"/>
    </row>
    <row r="432" spans="4:13" ht="12.75" x14ac:dyDescent="0.2">
      <c r="D432" s="21"/>
      <c r="E432" s="21"/>
      <c r="M432" s="21"/>
    </row>
    <row r="433" spans="4:13" ht="12.75" x14ac:dyDescent="0.2">
      <c r="D433" s="21"/>
      <c r="E433" s="21"/>
      <c r="M433" s="21"/>
    </row>
    <row r="434" spans="4:13" ht="12.75" x14ac:dyDescent="0.2">
      <c r="D434" s="21"/>
      <c r="E434" s="21"/>
      <c r="M434" s="21"/>
    </row>
    <row r="435" spans="4:13" ht="12.75" x14ac:dyDescent="0.2">
      <c r="D435" s="21"/>
      <c r="E435" s="21"/>
      <c r="M435" s="21"/>
    </row>
    <row r="436" spans="4:13" ht="12.75" x14ac:dyDescent="0.2">
      <c r="D436" s="21"/>
      <c r="E436" s="21"/>
      <c r="M436" s="21"/>
    </row>
    <row r="437" spans="4:13" ht="12.75" x14ac:dyDescent="0.2">
      <c r="D437" s="21"/>
      <c r="E437" s="21"/>
      <c r="M437" s="21"/>
    </row>
    <row r="438" spans="4:13" ht="12.75" x14ac:dyDescent="0.2">
      <c r="D438" s="21"/>
      <c r="E438" s="21"/>
      <c r="M438" s="21"/>
    </row>
    <row r="439" spans="4:13" ht="12.75" x14ac:dyDescent="0.2">
      <c r="D439" s="21"/>
      <c r="E439" s="21"/>
      <c r="M439" s="21"/>
    </row>
    <row r="440" spans="4:13" ht="12.75" x14ac:dyDescent="0.2">
      <c r="D440" s="21"/>
      <c r="E440" s="21"/>
      <c r="M440" s="21"/>
    </row>
    <row r="441" spans="4:13" ht="12.75" x14ac:dyDescent="0.2">
      <c r="D441" s="21"/>
      <c r="E441" s="21"/>
      <c r="M441" s="21"/>
    </row>
    <row r="442" spans="4:13" ht="12.75" x14ac:dyDescent="0.2">
      <c r="D442" s="21"/>
      <c r="E442" s="21"/>
      <c r="M442" s="21"/>
    </row>
    <row r="443" spans="4:13" ht="12.75" x14ac:dyDescent="0.2">
      <c r="D443" s="21"/>
      <c r="E443" s="21"/>
      <c r="M443" s="21"/>
    </row>
    <row r="444" spans="4:13" ht="12.75" x14ac:dyDescent="0.2">
      <c r="D444" s="21"/>
      <c r="E444" s="21"/>
      <c r="M444" s="21"/>
    </row>
    <row r="445" spans="4:13" ht="12.75" x14ac:dyDescent="0.2">
      <c r="D445" s="21"/>
      <c r="E445" s="21"/>
      <c r="M445" s="21"/>
    </row>
    <row r="446" spans="4:13" ht="12.75" x14ac:dyDescent="0.2">
      <c r="D446" s="21"/>
      <c r="E446" s="21"/>
      <c r="M446" s="21"/>
    </row>
    <row r="447" spans="4:13" ht="12.75" x14ac:dyDescent="0.2">
      <c r="D447" s="21"/>
      <c r="E447" s="21"/>
      <c r="M447" s="21"/>
    </row>
    <row r="448" spans="4:13" ht="12.75" x14ac:dyDescent="0.2">
      <c r="D448" s="21"/>
      <c r="E448" s="21"/>
      <c r="M448" s="21"/>
    </row>
    <row r="449" spans="4:13" ht="12.75" x14ac:dyDescent="0.2">
      <c r="D449" s="21"/>
      <c r="E449" s="21"/>
      <c r="M449" s="21"/>
    </row>
    <row r="450" spans="4:13" ht="12.75" x14ac:dyDescent="0.2">
      <c r="D450" s="21"/>
      <c r="E450" s="21"/>
      <c r="M450" s="21"/>
    </row>
    <row r="451" spans="4:13" ht="12.75" x14ac:dyDescent="0.2">
      <c r="D451" s="21"/>
      <c r="E451" s="21"/>
      <c r="M451" s="21"/>
    </row>
    <row r="452" spans="4:13" ht="12.75" x14ac:dyDescent="0.2">
      <c r="D452" s="21"/>
      <c r="E452" s="21"/>
      <c r="M452" s="21"/>
    </row>
    <row r="453" spans="4:13" ht="12.75" x14ac:dyDescent="0.2">
      <c r="D453" s="21"/>
      <c r="E453" s="21"/>
      <c r="M453" s="21"/>
    </row>
    <row r="454" spans="4:13" ht="12.75" x14ac:dyDescent="0.2">
      <c r="D454" s="21"/>
      <c r="E454" s="21"/>
      <c r="M454" s="21"/>
    </row>
    <row r="455" spans="4:13" ht="12.75" x14ac:dyDescent="0.2">
      <c r="D455" s="21"/>
      <c r="E455" s="21"/>
      <c r="M455" s="21"/>
    </row>
    <row r="456" spans="4:13" ht="12.75" x14ac:dyDescent="0.2">
      <c r="D456" s="21"/>
      <c r="E456" s="21"/>
      <c r="M456" s="21"/>
    </row>
    <row r="457" spans="4:13" ht="12.75" x14ac:dyDescent="0.2">
      <c r="D457" s="21"/>
      <c r="E457" s="21"/>
      <c r="M457" s="21"/>
    </row>
    <row r="458" spans="4:13" ht="12.75" x14ac:dyDescent="0.2">
      <c r="D458" s="21"/>
      <c r="E458" s="21"/>
      <c r="M458" s="21"/>
    </row>
    <row r="459" spans="4:13" ht="12.75" x14ac:dyDescent="0.2">
      <c r="D459" s="21"/>
      <c r="E459" s="21"/>
      <c r="M459" s="21"/>
    </row>
    <row r="460" spans="4:13" ht="12.75" x14ac:dyDescent="0.2">
      <c r="D460" s="21"/>
      <c r="E460" s="21"/>
      <c r="M460" s="21"/>
    </row>
    <row r="461" spans="4:13" ht="12.75" x14ac:dyDescent="0.2">
      <c r="D461" s="21"/>
      <c r="E461" s="21"/>
      <c r="M461" s="21"/>
    </row>
    <row r="462" spans="4:13" ht="12.75" x14ac:dyDescent="0.2">
      <c r="D462" s="21"/>
      <c r="E462" s="21"/>
      <c r="M462" s="21"/>
    </row>
    <row r="463" spans="4:13" ht="12.75" x14ac:dyDescent="0.2">
      <c r="D463" s="21"/>
      <c r="E463" s="21"/>
      <c r="M463" s="21"/>
    </row>
    <row r="464" spans="4:13" ht="12.75" x14ac:dyDescent="0.2">
      <c r="D464" s="21"/>
      <c r="E464" s="21"/>
      <c r="M464" s="21"/>
    </row>
    <row r="465" spans="4:13" ht="12.75" x14ac:dyDescent="0.2">
      <c r="D465" s="21"/>
      <c r="E465" s="21"/>
      <c r="M465" s="21"/>
    </row>
    <row r="466" spans="4:13" ht="12.75" x14ac:dyDescent="0.2">
      <c r="D466" s="21"/>
      <c r="E466" s="21"/>
      <c r="M466" s="21"/>
    </row>
    <row r="467" spans="4:13" ht="12.75" x14ac:dyDescent="0.2">
      <c r="D467" s="21"/>
      <c r="E467" s="21"/>
      <c r="M467" s="21"/>
    </row>
    <row r="468" spans="4:13" ht="12.75" x14ac:dyDescent="0.2">
      <c r="D468" s="21"/>
      <c r="E468" s="21"/>
      <c r="M468" s="21"/>
    </row>
    <row r="469" spans="4:13" ht="12.75" x14ac:dyDescent="0.2">
      <c r="D469" s="21"/>
      <c r="E469" s="21"/>
      <c r="M469" s="21"/>
    </row>
    <row r="470" spans="4:13" ht="12.75" x14ac:dyDescent="0.2">
      <c r="D470" s="21"/>
      <c r="E470" s="21"/>
      <c r="M470" s="21"/>
    </row>
    <row r="471" spans="4:13" ht="12.75" x14ac:dyDescent="0.2">
      <c r="D471" s="21"/>
      <c r="E471" s="21"/>
      <c r="M471" s="21"/>
    </row>
    <row r="472" spans="4:13" ht="12.75" x14ac:dyDescent="0.2">
      <c r="D472" s="21"/>
      <c r="E472" s="21"/>
      <c r="M472" s="21"/>
    </row>
    <row r="473" spans="4:13" ht="12.75" x14ac:dyDescent="0.2">
      <c r="D473" s="21"/>
      <c r="E473" s="21"/>
      <c r="M473" s="21"/>
    </row>
    <row r="474" spans="4:13" ht="12.75" x14ac:dyDescent="0.2">
      <c r="D474" s="21"/>
      <c r="E474" s="21"/>
      <c r="M474" s="21"/>
    </row>
    <row r="475" spans="4:13" ht="12.75" x14ac:dyDescent="0.2">
      <c r="D475" s="21"/>
      <c r="E475" s="21"/>
      <c r="M475" s="21"/>
    </row>
    <row r="476" spans="4:13" ht="12.75" x14ac:dyDescent="0.2">
      <c r="D476" s="21"/>
      <c r="E476" s="21"/>
      <c r="M476" s="21"/>
    </row>
    <row r="477" spans="4:13" ht="12.75" x14ac:dyDescent="0.2">
      <c r="D477" s="21"/>
      <c r="E477" s="21"/>
      <c r="M477" s="21"/>
    </row>
    <row r="478" spans="4:13" ht="12.75" x14ac:dyDescent="0.2">
      <c r="D478" s="21"/>
      <c r="E478" s="21"/>
      <c r="M478" s="21"/>
    </row>
    <row r="479" spans="4:13" ht="12.75" x14ac:dyDescent="0.2">
      <c r="D479" s="21"/>
      <c r="E479" s="21"/>
      <c r="M479" s="21"/>
    </row>
    <row r="480" spans="4:13" ht="12.75" x14ac:dyDescent="0.2">
      <c r="D480" s="21"/>
      <c r="E480" s="21"/>
      <c r="M480" s="21"/>
    </row>
    <row r="481" spans="4:13" ht="12.75" x14ac:dyDescent="0.2">
      <c r="D481" s="21"/>
      <c r="E481" s="21"/>
      <c r="M481" s="21"/>
    </row>
    <row r="482" spans="4:13" ht="12.75" x14ac:dyDescent="0.2">
      <c r="D482" s="21"/>
      <c r="E482" s="21"/>
      <c r="M482" s="21"/>
    </row>
    <row r="483" spans="4:13" ht="12.75" x14ac:dyDescent="0.2">
      <c r="D483" s="21"/>
      <c r="E483" s="21"/>
      <c r="M483" s="21"/>
    </row>
    <row r="484" spans="4:13" ht="12.75" x14ac:dyDescent="0.2">
      <c r="D484" s="21"/>
      <c r="E484" s="21"/>
      <c r="M484" s="21"/>
    </row>
    <row r="485" spans="4:13" ht="12.75" x14ac:dyDescent="0.2">
      <c r="D485" s="21"/>
      <c r="E485" s="21"/>
      <c r="M485" s="21"/>
    </row>
    <row r="486" spans="4:13" ht="12.75" x14ac:dyDescent="0.2">
      <c r="D486" s="21"/>
      <c r="E486" s="21"/>
      <c r="M486" s="21"/>
    </row>
    <row r="487" spans="4:13" ht="12.75" x14ac:dyDescent="0.2">
      <c r="D487" s="21"/>
      <c r="E487" s="21"/>
      <c r="M487" s="21"/>
    </row>
    <row r="488" spans="4:13" ht="12.75" x14ac:dyDescent="0.2">
      <c r="D488" s="21"/>
      <c r="E488" s="21"/>
      <c r="M488" s="21"/>
    </row>
    <row r="489" spans="4:13" ht="12.75" x14ac:dyDescent="0.2">
      <c r="D489" s="21"/>
      <c r="E489" s="21"/>
      <c r="M489" s="21"/>
    </row>
    <row r="490" spans="4:13" ht="12.75" x14ac:dyDescent="0.2">
      <c r="D490" s="21"/>
      <c r="E490" s="21"/>
      <c r="M490" s="21"/>
    </row>
    <row r="491" spans="4:13" ht="12.75" x14ac:dyDescent="0.2">
      <c r="D491" s="21"/>
      <c r="E491" s="21"/>
      <c r="M491" s="21"/>
    </row>
    <row r="492" spans="4:13" ht="12.75" x14ac:dyDescent="0.2">
      <c r="D492" s="21"/>
      <c r="E492" s="21"/>
      <c r="M492" s="21"/>
    </row>
    <row r="493" spans="4:13" ht="12.75" x14ac:dyDescent="0.2">
      <c r="D493" s="21"/>
      <c r="E493" s="21"/>
      <c r="M493" s="21"/>
    </row>
    <row r="494" spans="4:13" ht="12.75" x14ac:dyDescent="0.2">
      <c r="D494" s="21"/>
      <c r="E494" s="21"/>
      <c r="M494" s="21"/>
    </row>
    <row r="495" spans="4:13" ht="12.75" x14ac:dyDescent="0.2">
      <c r="D495" s="21"/>
      <c r="E495" s="21"/>
      <c r="M495" s="21"/>
    </row>
    <row r="496" spans="4:13" ht="12.75" x14ac:dyDescent="0.2">
      <c r="D496" s="21"/>
      <c r="E496" s="21"/>
      <c r="M496" s="21"/>
    </row>
    <row r="497" spans="4:13" ht="12.75" x14ac:dyDescent="0.2">
      <c r="D497" s="21"/>
      <c r="E497" s="21"/>
      <c r="M497" s="21"/>
    </row>
    <row r="498" spans="4:13" ht="12.75" x14ac:dyDescent="0.2">
      <c r="D498" s="21"/>
      <c r="E498" s="21"/>
      <c r="M498" s="21"/>
    </row>
    <row r="499" spans="4:13" ht="12.75" x14ac:dyDescent="0.2">
      <c r="D499" s="21"/>
      <c r="E499" s="21"/>
      <c r="M499" s="21"/>
    </row>
    <row r="500" spans="4:13" ht="12.75" x14ac:dyDescent="0.2">
      <c r="D500" s="21"/>
      <c r="E500" s="21"/>
      <c r="M500" s="21"/>
    </row>
    <row r="501" spans="4:13" ht="12.75" x14ac:dyDescent="0.2">
      <c r="D501" s="21"/>
      <c r="E501" s="21"/>
      <c r="M501" s="21"/>
    </row>
    <row r="502" spans="4:13" ht="12.75" x14ac:dyDescent="0.2">
      <c r="D502" s="21"/>
      <c r="E502" s="21"/>
      <c r="M502" s="21"/>
    </row>
    <row r="503" spans="4:13" ht="12.75" x14ac:dyDescent="0.2">
      <c r="D503" s="21"/>
      <c r="E503" s="21"/>
      <c r="M503" s="21"/>
    </row>
    <row r="504" spans="4:13" ht="12.75" x14ac:dyDescent="0.2">
      <c r="D504" s="21"/>
      <c r="E504" s="21"/>
      <c r="M504" s="21"/>
    </row>
    <row r="505" spans="4:13" ht="12.75" x14ac:dyDescent="0.2">
      <c r="D505" s="21"/>
      <c r="E505" s="21"/>
      <c r="M505" s="21"/>
    </row>
    <row r="506" spans="4:13" ht="12.75" x14ac:dyDescent="0.2">
      <c r="D506" s="21"/>
      <c r="E506" s="21"/>
      <c r="M506" s="21"/>
    </row>
    <row r="507" spans="4:13" ht="12.75" x14ac:dyDescent="0.2">
      <c r="D507" s="21"/>
      <c r="E507" s="21"/>
      <c r="M507" s="21"/>
    </row>
    <row r="508" spans="4:13" ht="12.75" x14ac:dyDescent="0.2">
      <c r="D508" s="21"/>
      <c r="E508" s="21"/>
      <c r="M508" s="21"/>
    </row>
    <row r="509" spans="4:13" ht="12.75" x14ac:dyDescent="0.2">
      <c r="D509" s="21"/>
      <c r="E509" s="21"/>
      <c r="M509" s="21"/>
    </row>
    <row r="510" spans="4:13" ht="12.75" x14ac:dyDescent="0.2">
      <c r="D510" s="21"/>
      <c r="E510" s="21"/>
      <c r="M510" s="21"/>
    </row>
    <row r="511" spans="4:13" ht="12.75" x14ac:dyDescent="0.2">
      <c r="D511" s="21"/>
      <c r="E511" s="21"/>
      <c r="M511" s="21"/>
    </row>
    <row r="512" spans="4:13" ht="12.75" x14ac:dyDescent="0.2">
      <c r="D512" s="21"/>
      <c r="E512" s="21"/>
      <c r="M512" s="21"/>
    </row>
    <row r="513" spans="4:13" ht="12.75" x14ac:dyDescent="0.2">
      <c r="D513" s="21"/>
      <c r="E513" s="21"/>
      <c r="M513" s="21"/>
    </row>
    <row r="514" spans="4:13" ht="12.75" x14ac:dyDescent="0.2">
      <c r="D514" s="21"/>
      <c r="E514" s="21"/>
      <c r="M514" s="21"/>
    </row>
    <row r="515" spans="4:13" ht="12.75" x14ac:dyDescent="0.2">
      <c r="D515" s="21"/>
      <c r="E515" s="21"/>
      <c r="M515" s="21"/>
    </row>
    <row r="516" spans="4:13" ht="12.75" x14ac:dyDescent="0.2">
      <c r="D516" s="21"/>
      <c r="E516" s="21"/>
      <c r="M516" s="21"/>
    </row>
    <row r="517" spans="4:13" ht="12.75" x14ac:dyDescent="0.2">
      <c r="D517" s="21"/>
      <c r="E517" s="21"/>
      <c r="M517" s="21"/>
    </row>
    <row r="518" spans="4:13" ht="12.75" x14ac:dyDescent="0.2">
      <c r="D518" s="21"/>
      <c r="E518" s="21"/>
      <c r="M518" s="21"/>
    </row>
    <row r="519" spans="4:13" ht="12.75" x14ac:dyDescent="0.2">
      <c r="D519" s="21"/>
      <c r="E519" s="21"/>
      <c r="M519" s="21"/>
    </row>
    <row r="520" spans="4:13" ht="12.75" x14ac:dyDescent="0.2">
      <c r="D520" s="21"/>
      <c r="E520" s="21"/>
      <c r="M520" s="21"/>
    </row>
    <row r="521" spans="4:13" ht="12.75" x14ac:dyDescent="0.2">
      <c r="D521" s="21"/>
      <c r="E521" s="21"/>
      <c r="M521" s="21"/>
    </row>
    <row r="522" spans="4:13" ht="12.75" x14ac:dyDescent="0.2">
      <c r="D522" s="21"/>
      <c r="E522" s="21"/>
      <c r="M522" s="21"/>
    </row>
    <row r="523" spans="4:13" ht="12.75" x14ac:dyDescent="0.2">
      <c r="D523" s="21"/>
      <c r="E523" s="21"/>
      <c r="M523" s="21"/>
    </row>
    <row r="524" spans="4:13" ht="12.75" x14ac:dyDescent="0.2">
      <c r="D524" s="21"/>
      <c r="E524" s="21"/>
      <c r="M524" s="21"/>
    </row>
    <row r="525" spans="4:13" ht="12.75" x14ac:dyDescent="0.2">
      <c r="D525" s="21"/>
      <c r="E525" s="21"/>
      <c r="M525" s="21"/>
    </row>
    <row r="526" spans="4:13" ht="12.75" x14ac:dyDescent="0.2">
      <c r="D526" s="21"/>
      <c r="E526" s="21"/>
      <c r="M526" s="21"/>
    </row>
    <row r="527" spans="4:13" ht="12.75" x14ac:dyDescent="0.2">
      <c r="D527" s="21"/>
      <c r="E527" s="21"/>
      <c r="M527" s="21"/>
    </row>
    <row r="528" spans="4:13" ht="12.75" x14ac:dyDescent="0.2">
      <c r="D528" s="21"/>
      <c r="E528" s="21"/>
      <c r="M528" s="21"/>
    </row>
    <row r="529" spans="4:13" ht="12.75" x14ac:dyDescent="0.2">
      <c r="D529" s="21"/>
      <c r="E529" s="21"/>
      <c r="M529" s="21"/>
    </row>
    <row r="530" spans="4:13" ht="12.75" x14ac:dyDescent="0.2">
      <c r="D530" s="21"/>
      <c r="E530" s="21"/>
      <c r="M530" s="21"/>
    </row>
    <row r="531" spans="4:13" ht="12.75" x14ac:dyDescent="0.2">
      <c r="D531" s="21"/>
      <c r="E531" s="21"/>
      <c r="M531" s="21"/>
    </row>
    <row r="532" spans="4:13" ht="12.75" x14ac:dyDescent="0.2">
      <c r="D532" s="21"/>
      <c r="E532" s="21"/>
      <c r="M532" s="21"/>
    </row>
    <row r="533" spans="4:13" ht="12.75" x14ac:dyDescent="0.2">
      <c r="D533" s="21"/>
      <c r="E533" s="21"/>
      <c r="M533" s="21"/>
    </row>
    <row r="534" spans="4:13" ht="12.75" x14ac:dyDescent="0.2">
      <c r="D534" s="21"/>
      <c r="E534" s="21"/>
      <c r="M534" s="21"/>
    </row>
    <row r="535" spans="4:13" ht="12.75" x14ac:dyDescent="0.2">
      <c r="D535" s="21"/>
      <c r="E535" s="21"/>
      <c r="M535" s="21"/>
    </row>
    <row r="536" spans="4:13" ht="12.75" x14ac:dyDescent="0.2">
      <c r="D536" s="21"/>
      <c r="E536" s="21"/>
      <c r="M536" s="21"/>
    </row>
    <row r="537" spans="4:13" ht="12.75" x14ac:dyDescent="0.2">
      <c r="D537" s="21"/>
      <c r="E537" s="21"/>
      <c r="M537" s="21"/>
    </row>
    <row r="538" spans="4:13" ht="12.75" x14ac:dyDescent="0.2">
      <c r="D538" s="21"/>
      <c r="E538" s="21"/>
      <c r="M538" s="21"/>
    </row>
    <row r="539" spans="4:13" ht="12.75" x14ac:dyDescent="0.2">
      <c r="D539" s="21"/>
      <c r="E539" s="21"/>
      <c r="M539" s="21"/>
    </row>
    <row r="540" spans="4:13" ht="12.75" x14ac:dyDescent="0.2">
      <c r="D540" s="21"/>
      <c r="E540" s="21"/>
      <c r="M540" s="21"/>
    </row>
    <row r="541" spans="4:13" ht="12.75" x14ac:dyDescent="0.2">
      <c r="D541" s="21"/>
      <c r="E541" s="21"/>
      <c r="M541" s="21"/>
    </row>
    <row r="542" spans="4:13" ht="12.75" x14ac:dyDescent="0.2">
      <c r="D542" s="21"/>
      <c r="E542" s="21"/>
      <c r="M542" s="21"/>
    </row>
    <row r="543" spans="4:13" ht="12.75" x14ac:dyDescent="0.2">
      <c r="D543" s="21"/>
      <c r="E543" s="21"/>
      <c r="M543" s="21"/>
    </row>
    <row r="544" spans="4:13" ht="12.75" x14ac:dyDescent="0.2">
      <c r="D544" s="21"/>
      <c r="E544" s="21"/>
      <c r="M544" s="21"/>
    </row>
    <row r="545" spans="4:13" ht="12.75" x14ac:dyDescent="0.2">
      <c r="D545" s="21"/>
      <c r="E545" s="21"/>
      <c r="M545" s="21"/>
    </row>
    <row r="546" spans="4:13" ht="12.75" x14ac:dyDescent="0.2">
      <c r="D546" s="21"/>
      <c r="E546" s="21"/>
      <c r="M546" s="21"/>
    </row>
    <row r="547" spans="4:13" ht="12.75" x14ac:dyDescent="0.2">
      <c r="D547" s="21"/>
      <c r="E547" s="21"/>
      <c r="M547" s="21"/>
    </row>
    <row r="548" spans="4:13" ht="12.75" x14ac:dyDescent="0.2">
      <c r="D548" s="21"/>
      <c r="E548" s="21"/>
      <c r="M548" s="21"/>
    </row>
    <row r="549" spans="4:13" ht="12.75" x14ac:dyDescent="0.2">
      <c r="D549" s="21"/>
      <c r="E549" s="21"/>
      <c r="M549" s="21"/>
    </row>
    <row r="550" spans="4:13" ht="12.75" x14ac:dyDescent="0.2">
      <c r="D550" s="21"/>
      <c r="E550" s="21"/>
      <c r="M550" s="21"/>
    </row>
    <row r="551" spans="4:13" ht="12.75" x14ac:dyDescent="0.2">
      <c r="D551" s="21"/>
      <c r="E551" s="21"/>
      <c r="M551" s="21"/>
    </row>
    <row r="552" spans="4:13" ht="12.75" x14ac:dyDescent="0.2">
      <c r="D552" s="21"/>
      <c r="E552" s="21"/>
      <c r="M552" s="21"/>
    </row>
    <row r="553" spans="4:13" ht="12.75" x14ac:dyDescent="0.2">
      <c r="D553" s="21"/>
      <c r="E553" s="21"/>
      <c r="M553" s="21"/>
    </row>
    <row r="554" spans="4:13" ht="12.75" x14ac:dyDescent="0.2">
      <c r="D554" s="21"/>
      <c r="E554" s="21"/>
      <c r="M554" s="21"/>
    </row>
    <row r="555" spans="4:13" ht="12.75" x14ac:dyDescent="0.2">
      <c r="D555" s="21"/>
      <c r="E555" s="21"/>
      <c r="M555" s="21"/>
    </row>
    <row r="556" spans="4:13" ht="12.75" x14ac:dyDescent="0.2">
      <c r="D556" s="21"/>
      <c r="E556" s="21"/>
      <c r="M556" s="21"/>
    </row>
    <row r="557" spans="4:13" ht="12.75" x14ac:dyDescent="0.2">
      <c r="D557" s="21"/>
      <c r="E557" s="21"/>
      <c r="M557" s="21"/>
    </row>
    <row r="558" spans="4:13" ht="12.75" x14ac:dyDescent="0.2">
      <c r="D558" s="21"/>
      <c r="E558" s="21"/>
      <c r="M558" s="21"/>
    </row>
    <row r="559" spans="4:13" ht="12.75" x14ac:dyDescent="0.2">
      <c r="D559" s="21"/>
      <c r="E559" s="21"/>
      <c r="M559" s="21"/>
    </row>
    <row r="560" spans="4:13" ht="12.75" x14ac:dyDescent="0.2">
      <c r="D560" s="21"/>
      <c r="E560" s="21"/>
      <c r="M560" s="21"/>
    </row>
    <row r="561" spans="4:13" ht="12.75" x14ac:dyDescent="0.2">
      <c r="D561" s="21"/>
      <c r="E561" s="21"/>
      <c r="M561" s="21"/>
    </row>
    <row r="562" spans="4:13" ht="12.75" x14ac:dyDescent="0.2">
      <c r="D562" s="21"/>
      <c r="E562" s="21"/>
      <c r="M562" s="21"/>
    </row>
    <row r="563" spans="4:13" ht="12.75" x14ac:dyDescent="0.2">
      <c r="D563" s="21"/>
      <c r="E563" s="21"/>
      <c r="M563" s="21"/>
    </row>
    <row r="564" spans="4:13" ht="12.75" x14ac:dyDescent="0.2">
      <c r="D564" s="21"/>
      <c r="E564" s="21"/>
      <c r="M564" s="21"/>
    </row>
    <row r="565" spans="4:13" ht="12.75" x14ac:dyDescent="0.2">
      <c r="D565" s="21"/>
      <c r="E565" s="21"/>
      <c r="M565" s="21"/>
    </row>
    <row r="566" spans="4:13" ht="12.75" x14ac:dyDescent="0.2">
      <c r="D566" s="21"/>
      <c r="E566" s="21"/>
      <c r="M566" s="21"/>
    </row>
    <row r="567" spans="4:13" ht="12.75" x14ac:dyDescent="0.2">
      <c r="D567" s="21"/>
      <c r="E567" s="21"/>
      <c r="M567" s="21"/>
    </row>
    <row r="568" spans="4:13" ht="12.75" x14ac:dyDescent="0.2">
      <c r="D568" s="21"/>
      <c r="E568" s="21"/>
      <c r="M568" s="21"/>
    </row>
    <row r="569" spans="4:13" ht="12.75" x14ac:dyDescent="0.2">
      <c r="D569" s="21"/>
      <c r="E569" s="21"/>
      <c r="M569" s="21"/>
    </row>
    <row r="570" spans="4:13" ht="12.75" x14ac:dyDescent="0.2">
      <c r="D570" s="21"/>
      <c r="E570" s="21"/>
      <c r="M570" s="21"/>
    </row>
    <row r="571" spans="4:13" ht="12.75" x14ac:dyDescent="0.2">
      <c r="D571" s="21"/>
      <c r="E571" s="21"/>
      <c r="M571" s="21"/>
    </row>
    <row r="572" spans="4:13" ht="12.75" x14ac:dyDescent="0.2">
      <c r="D572" s="21"/>
      <c r="E572" s="21"/>
      <c r="M572" s="21"/>
    </row>
    <row r="573" spans="4:13" ht="12.75" x14ac:dyDescent="0.2">
      <c r="D573" s="21"/>
      <c r="E573" s="21"/>
      <c r="M573" s="21"/>
    </row>
    <row r="574" spans="4:13" ht="12.75" x14ac:dyDescent="0.2">
      <c r="D574" s="21"/>
      <c r="E574" s="21"/>
      <c r="M574" s="21"/>
    </row>
    <row r="575" spans="4:13" ht="12.75" x14ac:dyDescent="0.2">
      <c r="D575" s="21"/>
      <c r="E575" s="21"/>
      <c r="M575" s="21"/>
    </row>
    <row r="576" spans="4:13" ht="12.75" x14ac:dyDescent="0.2">
      <c r="D576" s="21"/>
      <c r="E576" s="21"/>
      <c r="M576" s="21"/>
    </row>
    <row r="577" spans="4:13" ht="12.75" x14ac:dyDescent="0.2">
      <c r="D577" s="21"/>
      <c r="E577" s="21"/>
      <c r="M577" s="21"/>
    </row>
    <row r="578" spans="4:13" ht="12.75" x14ac:dyDescent="0.2">
      <c r="D578" s="21"/>
      <c r="E578" s="21"/>
      <c r="M578" s="21"/>
    </row>
    <row r="579" spans="4:13" ht="12.75" x14ac:dyDescent="0.2">
      <c r="D579" s="21"/>
      <c r="E579" s="21"/>
      <c r="M579" s="21"/>
    </row>
    <row r="580" spans="4:13" ht="12.75" x14ac:dyDescent="0.2">
      <c r="D580" s="21"/>
      <c r="E580" s="21"/>
      <c r="M580" s="21"/>
    </row>
    <row r="581" spans="4:13" ht="12.75" x14ac:dyDescent="0.2">
      <c r="D581" s="21"/>
      <c r="E581" s="21"/>
      <c r="M581" s="21"/>
    </row>
    <row r="582" spans="4:13" ht="12.75" x14ac:dyDescent="0.2">
      <c r="D582" s="21"/>
      <c r="E582" s="21"/>
      <c r="M582" s="21"/>
    </row>
    <row r="583" spans="4:13" ht="12.75" x14ac:dyDescent="0.2">
      <c r="D583" s="21"/>
      <c r="E583" s="21"/>
      <c r="M583" s="21"/>
    </row>
    <row r="584" spans="4:13" ht="12.75" x14ac:dyDescent="0.2">
      <c r="D584" s="21"/>
      <c r="E584" s="21"/>
      <c r="M584" s="21"/>
    </row>
    <row r="585" spans="4:13" ht="12.75" x14ac:dyDescent="0.2">
      <c r="D585" s="21"/>
      <c r="E585" s="21"/>
      <c r="M585" s="21"/>
    </row>
    <row r="586" spans="4:13" ht="12.75" x14ac:dyDescent="0.2">
      <c r="D586" s="21"/>
      <c r="E586" s="21"/>
      <c r="M586" s="21"/>
    </row>
    <row r="587" spans="4:13" ht="12.75" x14ac:dyDescent="0.2">
      <c r="D587" s="21"/>
      <c r="E587" s="21"/>
      <c r="M587" s="21"/>
    </row>
    <row r="588" spans="4:13" ht="12.75" x14ac:dyDescent="0.2">
      <c r="D588" s="21"/>
      <c r="E588" s="21"/>
      <c r="M588" s="21"/>
    </row>
    <row r="589" spans="4:13" ht="12.75" x14ac:dyDescent="0.2">
      <c r="D589" s="21"/>
      <c r="E589" s="21"/>
      <c r="M589" s="21"/>
    </row>
    <row r="590" spans="4:13" ht="12.75" x14ac:dyDescent="0.2">
      <c r="D590" s="21"/>
      <c r="E590" s="21"/>
      <c r="M590" s="21"/>
    </row>
    <row r="591" spans="4:13" ht="12.75" x14ac:dyDescent="0.2">
      <c r="D591" s="21"/>
      <c r="E591" s="21"/>
      <c r="M591" s="21"/>
    </row>
    <row r="592" spans="4:13" ht="12.75" x14ac:dyDescent="0.2">
      <c r="D592" s="21"/>
      <c r="E592" s="21"/>
      <c r="M592" s="21"/>
    </row>
    <row r="593" spans="4:13" ht="12.75" x14ac:dyDescent="0.2">
      <c r="D593" s="21"/>
      <c r="E593" s="21"/>
      <c r="M593" s="21"/>
    </row>
    <row r="594" spans="4:13" ht="12.75" x14ac:dyDescent="0.2">
      <c r="D594" s="21"/>
      <c r="E594" s="21"/>
      <c r="M594" s="21"/>
    </row>
    <row r="595" spans="4:13" ht="12.75" x14ac:dyDescent="0.2">
      <c r="D595" s="21"/>
      <c r="E595" s="21"/>
      <c r="M595" s="21"/>
    </row>
    <row r="596" spans="4:13" ht="12.75" x14ac:dyDescent="0.2">
      <c r="D596" s="21"/>
      <c r="E596" s="21"/>
      <c r="M596" s="21"/>
    </row>
    <row r="597" spans="4:13" ht="12.75" x14ac:dyDescent="0.2">
      <c r="D597" s="21"/>
      <c r="E597" s="21"/>
      <c r="M597" s="21"/>
    </row>
    <row r="598" spans="4:13" ht="12.75" x14ac:dyDescent="0.2">
      <c r="D598" s="21"/>
      <c r="E598" s="21"/>
      <c r="M598" s="21"/>
    </row>
    <row r="599" spans="4:13" ht="12.75" x14ac:dyDescent="0.2">
      <c r="D599" s="21"/>
      <c r="E599" s="21"/>
      <c r="M599" s="21"/>
    </row>
    <row r="600" spans="4:13" ht="12.75" x14ac:dyDescent="0.2">
      <c r="D600" s="21"/>
      <c r="E600" s="21"/>
      <c r="M600" s="21"/>
    </row>
    <row r="601" spans="4:13" ht="12.75" x14ac:dyDescent="0.2">
      <c r="D601" s="21"/>
      <c r="E601" s="21"/>
      <c r="M601" s="21"/>
    </row>
    <row r="602" spans="4:13" ht="12.75" x14ac:dyDescent="0.2">
      <c r="D602" s="21"/>
      <c r="E602" s="21"/>
      <c r="M602" s="21"/>
    </row>
    <row r="603" spans="4:13" ht="12.75" x14ac:dyDescent="0.2">
      <c r="D603" s="21"/>
      <c r="E603" s="21"/>
      <c r="M603" s="21"/>
    </row>
    <row r="604" spans="4:13" ht="12.75" x14ac:dyDescent="0.2">
      <c r="D604" s="21"/>
      <c r="E604" s="21"/>
      <c r="M604" s="21"/>
    </row>
    <row r="605" spans="4:13" ht="12.75" x14ac:dyDescent="0.2">
      <c r="D605" s="21"/>
      <c r="E605" s="21"/>
      <c r="M605" s="21"/>
    </row>
    <row r="606" spans="4:13" ht="12.75" x14ac:dyDescent="0.2">
      <c r="D606" s="21"/>
      <c r="E606" s="21"/>
      <c r="M606" s="21"/>
    </row>
    <row r="607" spans="4:13" ht="12.75" x14ac:dyDescent="0.2">
      <c r="D607" s="21"/>
      <c r="E607" s="21"/>
      <c r="M607" s="21"/>
    </row>
    <row r="608" spans="4:13" ht="12.75" x14ac:dyDescent="0.2">
      <c r="D608" s="21"/>
      <c r="E608" s="21"/>
      <c r="M608" s="21"/>
    </row>
    <row r="609" spans="4:13" ht="12.75" x14ac:dyDescent="0.2">
      <c r="D609" s="21"/>
      <c r="E609" s="21"/>
      <c r="M609" s="21"/>
    </row>
    <row r="610" spans="4:13" ht="12.75" x14ac:dyDescent="0.2">
      <c r="D610" s="21"/>
      <c r="E610" s="21"/>
      <c r="M610" s="21"/>
    </row>
    <row r="611" spans="4:13" ht="12.75" x14ac:dyDescent="0.2">
      <c r="D611" s="21"/>
      <c r="E611" s="21"/>
      <c r="M611" s="21"/>
    </row>
    <row r="612" spans="4:13" ht="12.75" x14ac:dyDescent="0.2">
      <c r="D612" s="21"/>
      <c r="E612" s="21"/>
      <c r="M612" s="21"/>
    </row>
    <row r="613" spans="4:13" ht="12.75" x14ac:dyDescent="0.2">
      <c r="D613" s="21"/>
      <c r="E613" s="21"/>
      <c r="M613" s="21"/>
    </row>
    <row r="614" spans="4:13" ht="12.75" x14ac:dyDescent="0.2">
      <c r="D614" s="21"/>
      <c r="E614" s="21"/>
      <c r="M614" s="21"/>
    </row>
    <row r="615" spans="4:13" ht="12.75" x14ac:dyDescent="0.2">
      <c r="D615" s="21"/>
      <c r="E615" s="21"/>
      <c r="M615" s="21"/>
    </row>
    <row r="616" spans="4:13" ht="12.75" x14ac:dyDescent="0.2">
      <c r="D616" s="21"/>
      <c r="E616" s="21"/>
      <c r="M616" s="21"/>
    </row>
    <row r="617" spans="4:13" ht="12.75" x14ac:dyDescent="0.2">
      <c r="D617" s="21"/>
      <c r="E617" s="21"/>
      <c r="M617" s="21"/>
    </row>
    <row r="618" spans="4:13" ht="12.75" x14ac:dyDescent="0.2">
      <c r="D618" s="21"/>
      <c r="E618" s="21"/>
      <c r="M618" s="21"/>
    </row>
    <row r="619" spans="4:13" ht="12.75" x14ac:dyDescent="0.2">
      <c r="D619" s="21"/>
      <c r="E619" s="21"/>
      <c r="M619" s="21"/>
    </row>
    <row r="620" spans="4:13" ht="12.75" x14ac:dyDescent="0.2">
      <c r="D620" s="21"/>
      <c r="E620" s="21"/>
      <c r="M620" s="21"/>
    </row>
    <row r="621" spans="4:13" ht="12.75" x14ac:dyDescent="0.2">
      <c r="D621" s="21"/>
      <c r="E621" s="21"/>
      <c r="M621" s="21"/>
    </row>
    <row r="622" spans="4:13" ht="12.75" x14ac:dyDescent="0.2">
      <c r="D622" s="21"/>
      <c r="E622" s="21"/>
      <c r="M622" s="21"/>
    </row>
    <row r="623" spans="4:13" ht="12.75" x14ac:dyDescent="0.2">
      <c r="D623" s="21"/>
      <c r="E623" s="21"/>
      <c r="M623" s="21"/>
    </row>
    <row r="624" spans="4:13" ht="12.75" x14ac:dyDescent="0.2">
      <c r="D624" s="21"/>
      <c r="E624" s="21"/>
      <c r="M624" s="21"/>
    </row>
    <row r="625" spans="4:13" ht="12.75" x14ac:dyDescent="0.2">
      <c r="D625" s="21"/>
      <c r="E625" s="21"/>
      <c r="M625" s="21"/>
    </row>
    <row r="626" spans="4:13" ht="12.75" x14ac:dyDescent="0.2">
      <c r="D626" s="21"/>
      <c r="E626" s="21"/>
      <c r="M626" s="21"/>
    </row>
    <row r="627" spans="4:13" ht="12.75" x14ac:dyDescent="0.2">
      <c r="D627" s="21"/>
      <c r="E627" s="21"/>
      <c r="M627" s="21"/>
    </row>
    <row r="628" spans="4:13" ht="12.75" x14ac:dyDescent="0.2">
      <c r="D628" s="21"/>
      <c r="E628" s="21"/>
      <c r="M628" s="21"/>
    </row>
    <row r="629" spans="4:13" ht="12.75" x14ac:dyDescent="0.2">
      <c r="D629" s="21"/>
      <c r="E629" s="21"/>
      <c r="M629" s="21"/>
    </row>
    <row r="630" spans="4:13" ht="12.75" x14ac:dyDescent="0.2">
      <c r="D630" s="21"/>
      <c r="E630" s="21"/>
      <c r="M630" s="21"/>
    </row>
    <row r="631" spans="4:13" ht="12.75" x14ac:dyDescent="0.2">
      <c r="D631" s="21"/>
      <c r="E631" s="21"/>
      <c r="M631" s="21"/>
    </row>
    <row r="632" spans="4:13" ht="12.75" x14ac:dyDescent="0.2">
      <c r="D632" s="21"/>
      <c r="E632" s="21"/>
      <c r="M632" s="21"/>
    </row>
    <row r="633" spans="4:13" ht="12.75" x14ac:dyDescent="0.2">
      <c r="D633" s="21"/>
      <c r="E633" s="21"/>
      <c r="M633" s="21"/>
    </row>
    <row r="634" spans="4:13" ht="12.75" x14ac:dyDescent="0.2">
      <c r="D634" s="21"/>
      <c r="E634" s="21"/>
      <c r="M634" s="21"/>
    </row>
    <row r="635" spans="4:13" ht="12.75" x14ac:dyDescent="0.2">
      <c r="D635" s="21"/>
      <c r="E635" s="21"/>
      <c r="M635" s="21"/>
    </row>
    <row r="636" spans="4:13" ht="12.75" x14ac:dyDescent="0.2">
      <c r="D636" s="21"/>
      <c r="E636" s="21"/>
      <c r="M636" s="21"/>
    </row>
    <row r="637" spans="4:13" ht="12.75" x14ac:dyDescent="0.2">
      <c r="D637" s="21"/>
      <c r="E637" s="21"/>
      <c r="M637" s="21"/>
    </row>
    <row r="638" spans="4:13" ht="12.75" x14ac:dyDescent="0.2">
      <c r="D638" s="21"/>
      <c r="E638" s="21"/>
      <c r="M638" s="21"/>
    </row>
    <row r="639" spans="4:13" ht="12.75" x14ac:dyDescent="0.2">
      <c r="D639" s="21"/>
      <c r="E639" s="21"/>
      <c r="M639" s="21"/>
    </row>
    <row r="640" spans="4:13" ht="12.75" x14ac:dyDescent="0.2">
      <c r="D640" s="21"/>
      <c r="E640" s="21"/>
      <c r="M640" s="21"/>
    </row>
    <row r="641" spans="4:13" ht="12.75" x14ac:dyDescent="0.2">
      <c r="D641" s="21"/>
      <c r="E641" s="21"/>
      <c r="M641" s="21"/>
    </row>
    <row r="642" spans="4:13" ht="12.75" x14ac:dyDescent="0.2">
      <c r="D642" s="21"/>
      <c r="E642" s="21"/>
      <c r="M642" s="21"/>
    </row>
    <row r="643" spans="4:13" ht="12.75" x14ac:dyDescent="0.2">
      <c r="D643" s="21"/>
      <c r="E643" s="21"/>
      <c r="M643" s="21"/>
    </row>
    <row r="644" spans="4:13" ht="12.75" x14ac:dyDescent="0.2">
      <c r="D644" s="21"/>
      <c r="E644" s="21"/>
      <c r="M644" s="21"/>
    </row>
    <row r="645" spans="4:13" ht="12.75" x14ac:dyDescent="0.2">
      <c r="D645" s="21"/>
      <c r="E645" s="21"/>
      <c r="M645" s="21"/>
    </row>
    <row r="646" spans="4:13" ht="12.75" x14ac:dyDescent="0.2">
      <c r="D646" s="21"/>
      <c r="E646" s="21"/>
      <c r="M646" s="21"/>
    </row>
    <row r="647" spans="4:13" ht="12.75" x14ac:dyDescent="0.2">
      <c r="D647" s="21"/>
      <c r="E647" s="21"/>
      <c r="M647" s="21"/>
    </row>
    <row r="648" spans="4:13" ht="12.75" x14ac:dyDescent="0.2">
      <c r="D648" s="21"/>
      <c r="E648" s="21"/>
      <c r="M648" s="21"/>
    </row>
    <row r="649" spans="4:13" ht="12.75" x14ac:dyDescent="0.2">
      <c r="D649" s="21"/>
      <c r="E649" s="21"/>
      <c r="M649" s="21"/>
    </row>
    <row r="650" spans="4:13" ht="12.75" x14ac:dyDescent="0.2">
      <c r="D650" s="21"/>
      <c r="E650" s="21"/>
      <c r="M650" s="21"/>
    </row>
    <row r="651" spans="4:13" ht="12.75" x14ac:dyDescent="0.2">
      <c r="D651" s="21"/>
      <c r="E651" s="21"/>
      <c r="M651" s="21"/>
    </row>
    <row r="652" spans="4:13" ht="12.75" x14ac:dyDescent="0.2">
      <c r="D652" s="21"/>
      <c r="E652" s="21"/>
      <c r="M652" s="21"/>
    </row>
    <row r="653" spans="4:13" ht="12.75" x14ac:dyDescent="0.2">
      <c r="D653" s="21"/>
      <c r="E653" s="21"/>
      <c r="M653" s="21"/>
    </row>
    <row r="654" spans="4:13" ht="12.75" x14ac:dyDescent="0.2">
      <c r="D654" s="21"/>
      <c r="E654" s="21"/>
      <c r="M654" s="21"/>
    </row>
    <row r="655" spans="4:13" ht="12.75" x14ac:dyDescent="0.2">
      <c r="D655" s="21"/>
      <c r="E655" s="21"/>
      <c r="M655" s="21"/>
    </row>
    <row r="656" spans="4:13" ht="12.75" x14ac:dyDescent="0.2">
      <c r="D656" s="21"/>
      <c r="E656" s="21"/>
      <c r="M656" s="21"/>
    </row>
    <row r="657" spans="4:13" ht="12.75" x14ac:dyDescent="0.2">
      <c r="D657" s="21"/>
      <c r="E657" s="21"/>
      <c r="M657" s="21"/>
    </row>
    <row r="658" spans="4:13" ht="12.75" x14ac:dyDescent="0.2">
      <c r="D658" s="21"/>
      <c r="E658" s="21"/>
      <c r="M658" s="21"/>
    </row>
    <row r="659" spans="4:13" ht="12.75" x14ac:dyDescent="0.2">
      <c r="D659" s="21"/>
      <c r="E659" s="21"/>
      <c r="M659" s="21"/>
    </row>
    <row r="660" spans="4:13" ht="12.75" x14ac:dyDescent="0.2">
      <c r="D660" s="21"/>
      <c r="E660" s="21"/>
      <c r="M660" s="21"/>
    </row>
    <row r="661" spans="4:13" ht="12.75" x14ac:dyDescent="0.2">
      <c r="D661" s="21"/>
      <c r="E661" s="21"/>
      <c r="M661" s="21"/>
    </row>
    <row r="662" spans="4:13" ht="12.75" x14ac:dyDescent="0.2">
      <c r="D662" s="21"/>
      <c r="E662" s="21"/>
      <c r="M662" s="21"/>
    </row>
    <row r="663" spans="4:13" ht="12.75" x14ac:dyDescent="0.2">
      <c r="D663" s="21"/>
      <c r="E663" s="21"/>
      <c r="M663" s="21"/>
    </row>
    <row r="664" spans="4:13" ht="12.75" x14ac:dyDescent="0.2">
      <c r="D664" s="21"/>
      <c r="E664" s="21"/>
      <c r="M664" s="21"/>
    </row>
    <row r="665" spans="4:13" ht="12.75" x14ac:dyDescent="0.2">
      <c r="D665" s="21"/>
      <c r="E665" s="21"/>
      <c r="M665" s="21"/>
    </row>
    <row r="666" spans="4:13" ht="12.75" x14ac:dyDescent="0.2">
      <c r="D666" s="21"/>
      <c r="E666" s="21"/>
      <c r="M666" s="21"/>
    </row>
    <row r="667" spans="4:13" ht="12.75" x14ac:dyDescent="0.2">
      <c r="D667" s="21"/>
      <c r="E667" s="21"/>
      <c r="M667" s="21"/>
    </row>
    <row r="668" spans="4:13" ht="12.75" x14ac:dyDescent="0.2">
      <c r="D668" s="21"/>
      <c r="E668" s="21"/>
      <c r="M668" s="21"/>
    </row>
    <row r="669" spans="4:13" ht="12.75" x14ac:dyDescent="0.2">
      <c r="D669" s="21"/>
      <c r="E669" s="21"/>
      <c r="M669" s="21"/>
    </row>
    <row r="670" spans="4:13" ht="12.75" x14ac:dyDescent="0.2">
      <c r="D670" s="21"/>
      <c r="E670" s="21"/>
      <c r="M670" s="21"/>
    </row>
    <row r="671" spans="4:13" ht="12.75" x14ac:dyDescent="0.2">
      <c r="D671" s="21"/>
      <c r="E671" s="21"/>
      <c r="M671" s="21"/>
    </row>
    <row r="672" spans="4:13" ht="12.75" x14ac:dyDescent="0.2">
      <c r="D672" s="21"/>
      <c r="E672" s="21"/>
      <c r="M672" s="21"/>
    </row>
    <row r="673" spans="4:13" ht="12.75" x14ac:dyDescent="0.2">
      <c r="D673" s="21"/>
      <c r="E673" s="21"/>
      <c r="M673" s="21"/>
    </row>
    <row r="674" spans="4:13" ht="12.75" x14ac:dyDescent="0.2">
      <c r="D674" s="21"/>
      <c r="E674" s="21"/>
      <c r="M674" s="21"/>
    </row>
    <row r="675" spans="4:13" ht="12.75" x14ac:dyDescent="0.2">
      <c r="D675" s="21"/>
      <c r="E675" s="21"/>
      <c r="M675" s="21"/>
    </row>
    <row r="676" spans="4:13" ht="12.75" x14ac:dyDescent="0.2">
      <c r="D676" s="21"/>
      <c r="E676" s="21"/>
      <c r="M676" s="21"/>
    </row>
    <row r="677" spans="4:13" ht="12.75" x14ac:dyDescent="0.2">
      <c r="D677" s="21"/>
      <c r="E677" s="21"/>
      <c r="M677" s="21"/>
    </row>
    <row r="678" spans="4:13" ht="12.75" x14ac:dyDescent="0.2">
      <c r="D678" s="21"/>
      <c r="E678" s="21"/>
      <c r="M678" s="21"/>
    </row>
    <row r="679" spans="4:13" ht="12.75" x14ac:dyDescent="0.2">
      <c r="D679" s="21"/>
      <c r="E679" s="21"/>
      <c r="M679" s="21"/>
    </row>
    <row r="680" spans="4:13" ht="12.75" x14ac:dyDescent="0.2">
      <c r="D680" s="21"/>
      <c r="E680" s="21"/>
      <c r="M680" s="21"/>
    </row>
    <row r="681" spans="4:13" ht="12.75" x14ac:dyDescent="0.2">
      <c r="D681" s="21"/>
      <c r="E681" s="21"/>
      <c r="M681" s="21"/>
    </row>
    <row r="682" spans="4:13" ht="12.75" x14ac:dyDescent="0.2">
      <c r="D682" s="21"/>
      <c r="E682" s="21"/>
      <c r="M682" s="21"/>
    </row>
    <row r="683" spans="4:13" ht="12.75" x14ac:dyDescent="0.2">
      <c r="D683" s="21"/>
      <c r="E683" s="21"/>
      <c r="M683" s="21"/>
    </row>
    <row r="684" spans="4:13" ht="12.75" x14ac:dyDescent="0.2">
      <c r="D684" s="21"/>
      <c r="E684" s="21"/>
      <c r="M684" s="21"/>
    </row>
    <row r="685" spans="4:13" ht="12.75" x14ac:dyDescent="0.2">
      <c r="D685" s="21"/>
      <c r="E685" s="21"/>
      <c r="M685" s="21"/>
    </row>
    <row r="686" spans="4:13" ht="12.75" x14ac:dyDescent="0.2">
      <c r="D686" s="21"/>
      <c r="E686" s="21"/>
      <c r="M686" s="21"/>
    </row>
    <row r="687" spans="4:13" ht="12.75" x14ac:dyDescent="0.2">
      <c r="D687" s="21"/>
      <c r="E687" s="21"/>
      <c r="M687" s="21"/>
    </row>
    <row r="688" spans="4:13" ht="12.75" x14ac:dyDescent="0.2">
      <c r="D688" s="21"/>
      <c r="E688" s="21"/>
      <c r="M688" s="21"/>
    </row>
    <row r="689" spans="4:13" ht="12.75" x14ac:dyDescent="0.2">
      <c r="D689" s="21"/>
      <c r="E689" s="21"/>
      <c r="M689" s="21"/>
    </row>
    <row r="690" spans="4:13" ht="12.75" x14ac:dyDescent="0.2">
      <c r="D690" s="21"/>
      <c r="E690" s="21"/>
      <c r="M690" s="21"/>
    </row>
    <row r="691" spans="4:13" ht="12.75" x14ac:dyDescent="0.2">
      <c r="D691" s="21"/>
      <c r="E691" s="21"/>
      <c r="M691" s="21"/>
    </row>
    <row r="692" spans="4:13" ht="12.75" x14ac:dyDescent="0.2">
      <c r="D692" s="21"/>
      <c r="E692" s="21"/>
      <c r="M692" s="21"/>
    </row>
    <row r="693" spans="4:13" ht="12.75" x14ac:dyDescent="0.2">
      <c r="D693" s="21"/>
      <c r="E693" s="21"/>
      <c r="M693" s="21"/>
    </row>
    <row r="694" spans="4:13" ht="12.75" x14ac:dyDescent="0.2">
      <c r="D694" s="21"/>
      <c r="E694" s="21"/>
      <c r="M694" s="21"/>
    </row>
    <row r="695" spans="4:13" ht="12.75" x14ac:dyDescent="0.2">
      <c r="D695" s="21"/>
      <c r="E695" s="21"/>
      <c r="M695" s="21"/>
    </row>
    <row r="696" spans="4:13" ht="12.75" x14ac:dyDescent="0.2">
      <c r="D696" s="21"/>
      <c r="E696" s="21"/>
      <c r="M696" s="21"/>
    </row>
    <row r="697" spans="4:13" ht="12.75" x14ac:dyDescent="0.2">
      <c r="D697" s="21"/>
      <c r="E697" s="21"/>
      <c r="M697" s="21"/>
    </row>
    <row r="698" spans="4:13" ht="12.75" x14ac:dyDescent="0.2">
      <c r="D698" s="21"/>
      <c r="E698" s="21"/>
      <c r="M698" s="21"/>
    </row>
    <row r="699" spans="4:13" ht="12.75" x14ac:dyDescent="0.2">
      <c r="D699" s="21"/>
      <c r="E699" s="21"/>
      <c r="M699" s="21"/>
    </row>
    <row r="700" spans="4:13" ht="12.75" x14ac:dyDescent="0.2">
      <c r="D700" s="21"/>
      <c r="E700" s="21"/>
      <c r="M700" s="21"/>
    </row>
    <row r="701" spans="4:13" ht="12.75" x14ac:dyDescent="0.2">
      <c r="D701" s="21"/>
      <c r="E701" s="21"/>
      <c r="M701" s="21"/>
    </row>
    <row r="702" spans="4:13" ht="12.75" x14ac:dyDescent="0.2">
      <c r="D702" s="21"/>
      <c r="E702" s="21"/>
      <c r="M702" s="21"/>
    </row>
    <row r="703" spans="4:13" ht="12.75" x14ac:dyDescent="0.2">
      <c r="D703" s="21"/>
      <c r="E703" s="21"/>
      <c r="M703" s="21"/>
    </row>
    <row r="704" spans="4:13" ht="12.75" x14ac:dyDescent="0.2">
      <c r="D704" s="21"/>
      <c r="E704" s="21"/>
      <c r="M704" s="21"/>
    </row>
    <row r="705" spans="4:13" ht="12.75" x14ac:dyDescent="0.2">
      <c r="D705" s="21"/>
      <c r="E705" s="21"/>
      <c r="M705" s="21"/>
    </row>
    <row r="706" spans="4:13" ht="12.75" x14ac:dyDescent="0.2">
      <c r="D706" s="21"/>
      <c r="E706" s="21"/>
      <c r="M706" s="21"/>
    </row>
    <row r="707" spans="4:13" ht="12.75" x14ac:dyDescent="0.2">
      <c r="D707" s="21"/>
      <c r="E707" s="21"/>
      <c r="M707" s="21"/>
    </row>
    <row r="708" spans="4:13" ht="12.75" x14ac:dyDescent="0.2">
      <c r="D708" s="21"/>
      <c r="E708" s="21"/>
      <c r="M708" s="21"/>
    </row>
    <row r="709" spans="4:13" ht="12.75" x14ac:dyDescent="0.2">
      <c r="D709" s="21"/>
      <c r="E709" s="21"/>
      <c r="M709" s="21"/>
    </row>
    <row r="710" spans="4:13" ht="12.75" x14ac:dyDescent="0.2">
      <c r="D710" s="21"/>
      <c r="E710" s="21"/>
      <c r="M710" s="21"/>
    </row>
    <row r="711" spans="4:13" ht="12.75" x14ac:dyDescent="0.2">
      <c r="D711" s="21"/>
      <c r="E711" s="21"/>
      <c r="M711" s="21"/>
    </row>
    <row r="712" spans="4:13" ht="12.75" x14ac:dyDescent="0.2">
      <c r="D712" s="21"/>
      <c r="E712" s="21"/>
      <c r="M712" s="21"/>
    </row>
    <row r="713" spans="4:13" ht="12.75" x14ac:dyDescent="0.2">
      <c r="D713" s="21"/>
      <c r="E713" s="21"/>
      <c r="M713" s="21"/>
    </row>
    <row r="714" spans="4:13" ht="12.75" x14ac:dyDescent="0.2">
      <c r="D714" s="21"/>
      <c r="E714" s="21"/>
      <c r="M714" s="21"/>
    </row>
    <row r="715" spans="4:13" ht="12.75" x14ac:dyDescent="0.2">
      <c r="D715" s="21"/>
      <c r="E715" s="21"/>
      <c r="M715" s="21"/>
    </row>
    <row r="716" spans="4:13" ht="12.75" x14ac:dyDescent="0.2">
      <c r="D716" s="21"/>
      <c r="E716" s="21"/>
      <c r="M716" s="21"/>
    </row>
    <row r="717" spans="4:13" ht="12.75" x14ac:dyDescent="0.2">
      <c r="D717" s="21"/>
      <c r="E717" s="21"/>
      <c r="M717" s="21"/>
    </row>
    <row r="718" spans="4:13" ht="12.75" x14ac:dyDescent="0.2">
      <c r="D718" s="21"/>
      <c r="E718" s="21"/>
      <c r="M718" s="21"/>
    </row>
    <row r="719" spans="4:13" ht="12.75" x14ac:dyDescent="0.2">
      <c r="D719" s="21"/>
      <c r="E719" s="21"/>
      <c r="M719" s="21"/>
    </row>
    <row r="720" spans="4:13" ht="12.75" x14ac:dyDescent="0.2">
      <c r="D720" s="21"/>
      <c r="E720" s="21"/>
      <c r="M720" s="21"/>
    </row>
    <row r="721" spans="4:13" ht="12.75" x14ac:dyDescent="0.2">
      <c r="D721" s="21"/>
      <c r="E721" s="21"/>
      <c r="M721" s="21"/>
    </row>
    <row r="722" spans="4:13" ht="12.75" x14ac:dyDescent="0.2">
      <c r="D722" s="21"/>
      <c r="E722" s="21"/>
      <c r="M722" s="21"/>
    </row>
    <row r="723" spans="4:13" ht="12.75" x14ac:dyDescent="0.2">
      <c r="D723" s="21"/>
      <c r="E723" s="21"/>
      <c r="M723" s="21"/>
    </row>
    <row r="724" spans="4:13" ht="12.75" x14ac:dyDescent="0.2">
      <c r="D724" s="21"/>
      <c r="E724" s="21"/>
      <c r="M724" s="21"/>
    </row>
    <row r="725" spans="4:13" ht="12.75" x14ac:dyDescent="0.2">
      <c r="D725" s="21"/>
      <c r="E725" s="21"/>
      <c r="M725" s="21"/>
    </row>
    <row r="726" spans="4:13" ht="12.75" x14ac:dyDescent="0.2">
      <c r="D726" s="21"/>
      <c r="E726" s="21"/>
      <c r="M726" s="21"/>
    </row>
    <row r="727" spans="4:13" ht="12.75" x14ac:dyDescent="0.2">
      <c r="D727" s="21"/>
      <c r="E727" s="21"/>
      <c r="M727" s="21"/>
    </row>
    <row r="728" spans="4:13" ht="12.75" x14ac:dyDescent="0.2">
      <c r="D728" s="21"/>
      <c r="E728" s="21"/>
      <c r="M728" s="21"/>
    </row>
    <row r="729" spans="4:13" ht="12.75" x14ac:dyDescent="0.2">
      <c r="D729" s="21"/>
      <c r="E729" s="21"/>
      <c r="M729" s="21"/>
    </row>
    <row r="730" spans="4:13" ht="12.75" x14ac:dyDescent="0.2">
      <c r="D730" s="21"/>
      <c r="E730" s="21"/>
      <c r="M730" s="21"/>
    </row>
    <row r="731" spans="4:13" ht="12.75" x14ac:dyDescent="0.2">
      <c r="D731" s="21"/>
      <c r="E731" s="21"/>
      <c r="M731" s="21"/>
    </row>
    <row r="732" spans="4:13" ht="12.75" x14ac:dyDescent="0.2">
      <c r="D732" s="21"/>
      <c r="E732" s="21"/>
      <c r="M732" s="21"/>
    </row>
    <row r="733" spans="4:13" ht="12.75" x14ac:dyDescent="0.2">
      <c r="D733" s="21"/>
      <c r="E733" s="21"/>
      <c r="M733" s="21"/>
    </row>
    <row r="734" spans="4:13" ht="12.75" x14ac:dyDescent="0.2">
      <c r="D734" s="21"/>
      <c r="E734" s="21"/>
      <c r="M734" s="21"/>
    </row>
    <row r="735" spans="4:13" ht="12.75" x14ac:dyDescent="0.2">
      <c r="D735" s="21"/>
      <c r="E735" s="21"/>
      <c r="M735" s="21"/>
    </row>
    <row r="736" spans="4:13" ht="12.75" x14ac:dyDescent="0.2">
      <c r="D736" s="21"/>
      <c r="E736" s="21"/>
      <c r="M736" s="21"/>
    </row>
    <row r="737" spans="4:13" ht="12.75" x14ac:dyDescent="0.2">
      <c r="D737" s="21"/>
      <c r="E737" s="21"/>
      <c r="M737" s="21"/>
    </row>
    <row r="738" spans="4:13" ht="12.75" x14ac:dyDescent="0.2">
      <c r="D738" s="21"/>
      <c r="E738" s="21"/>
      <c r="M738" s="21"/>
    </row>
    <row r="739" spans="4:13" ht="12.75" x14ac:dyDescent="0.2">
      <c r="D739" s="21"/>
      <c r="E739" s="21"/>
      <c r="M739" s="21"/>
    </row>
    <row r="740" spans="4:13" ht="12.75" x14ac:dyDescent="0.2">
      <c r="D740" s="21"/>
      <c r="E740" s="21"/>
      <c r="M740" s="21"/>
    </row>
    <row r="741" spans="4:13" ht="12.75" x14ac:dyDescent="0.2">
      <c r="D741" s="21"/>
      <c r="E741" s="21"/>
      <c r="M741" s="21"/>
    </row>
    <row r="742" spans="4:13" ht="12.75" x14ac:dyDescent="0.2">
      <c r="D742" s="21"/>
      <c r="E742" s="21"/>
      <c r="M742" s="21"/>
    </row>
    <row r="743" spans="4:13" ht="12.75" x14ac:dyDescent="0.2">
      <c r="D743" s="21"/>
      <c r="E743" s="21"/>
      <c r="M743" s="21"/>
    </row>
    <row r="744" spans="4:13" ht="12.75" x14ac:dyDescent="0.2">
      <c r="D744" s="21"/>
      <c r="E744" s="21"/>
      <c r="M744" s="21"/>
    </row>
    <row r="745" spans="4:13" ht="12.75" x14ac:dyDescent="0.2">
      <c r="D745" s="21"/>
      <c r="E745" s="21"/>
      <c r="M745" s="21"/>
    </row>
    <row r="746" spans="4:13" ht="12.75" x14ac:dyDescent="0.2">
      <c r="D746" s="21"/>
      <c r="E746" s="21"/>
      <c r="M746" s="21"/>
    </row>
    <row r="747" spans="4:13" ht="12.75" x14ac:dyDescent="0.2">
      <c r="D747" s="21"/>
      <c r="E747" s="21"/>
      <c r="M747" s="21"/>
    </row>
    <row r="748" spans="4:13" ht="12.75" x14ac:dyDescent="0.2">
      <c r="D748" s="21"/>
      <c r="E748" s="21"/>
      <c r="M748" s="21"/>
    </row>
    <row r="749" spans="4:13" ht="12.75" x14ac:dyDescent="0.2">
      <c r="D749" s="21"/>
      <c r="E749" s="21"/>
      <c r="M749" s="21"/>
    </row>
    <row r="750" spans="4:13" ht="12.75" x14ac:dyDescent="0.2">
      <c r="D750" s="21"/>
      <c r="E750" s="21"/>
      <c r="M750" s="21"/>
    </row>
    <row r="751" spans="4:13" ht="12.75" x14ac:dyDescent="0.2">
      <c r="D751" s="21"/>
      <c r="E751" s="21"/>
      <c r="M751" s="21"/>
    </row>
    <row r="752" spans="4:13" ht="12.75" x14ac:dyDescent="0.2">
      <c r="D752" s="21"/>
      <c r="E752" s="21"/>
      <c r="M752" s="21"/>
    </row>
    <row r="753" spans="4:13" ht="12.75" x14ac:dyDescent="0.2">
      <c r="D753" s="21"/>
      <c r="E753" s="21"/>
      <c r="M753" s="21"/>
    </row>
    <row r="754" spans="4:13" ht="12.75" x14ac:dyDescent="0.2">
      <c r="D754" s="21"/>
      <c r="E754" s="21"/>
      <c r="M754" s="21"/>
    </row>
    <row r="755" spans="4:13" ht="12.75" x14ac:dyDescent="0.2">
      <c r="D755" s="21"/>
      <c r="E755" s="21"/>
      <c r="M755" s="21"/>
    </row>
    <row r="756" spans="4:13" ht="12.75" x14ac:dyDescent="0.2">
      <c r="D756" s="21"/>
      <c r="E756" s="21"/>
      <c r="M756" s="21"/>
    </row>
    <row r="757" spans="4:13" ht="12.75" x14ac:dyDescent="0.2">
      <c r="D757" s="21"/>
      <c r="E757" s="21"/>
      <c r="M757" s="21"/>
    </row>
    <row r="758" spans="4:13" ht="12.75" x14ac:dyDescent="0.2">
      <c r="D758" s="21"/>
      <c r="E758" s="21"/>
      <c r="M758" s="21"/>
    </row>
    <row r="759" spans="4:13" ht="12.75" x14ac:dyDescent="0.2">
      <c r="D759" s="21"/>
      <c r="E759" s="21"/>
      <c r="M759" s="21"/>
    </row>
    <row r="760" spans="4:13" ht="12.75" x14ac:dyDescent="0.2">
      <c r="D760" s="21"/>
      <c r="E760" s="21"/>
      <c r="M760" s="21"/>
    </row>
    <row r="761" spans="4:13" ht="12.75" x14ac:dyDescent="0.2">
      <c r="D761" s="21"/>
      <c r="E761" s="21"/>
      <c r="M761" s="21"/>
    </row>
    <row r="762" spans="4:13" ht="12.75" x14ac:dyDescent="0.2">
      <c r="D762" s="21"/>
      <c r="E762" s="21"/>
      <c r="M762" s="21"/>
    </row>
    <row r="763" spans="4:13" ht="12.75" x14ac:dyDescent="0.2">
      <c r="D763" s="21"/>
      <c r="E763" s="21"/>
      <c r="M763" s="21"/>
    </row>
    <row r="764" spans="4:13" ht="12.75" x14ac:dyDescent="0.2">
      <c r="D764" s="21"/>
      <c r="E764" s="21"/>
      <c r="M764" s="21"/>
    </row>
    <row r="765" spans="4:13" ht="12.75" x14ac:dyDescent="0.2">
      <c r="D765" s="21"/>
      <c r="E765" s="21"/>
      <c r="M765" s="21"/>
    </row>
    <row r="766" spans="4:13" ht="12.75" x14ac:dyDescent="0.2">
      <c r="D766" s="21"/>
      <c r="E766" s="21"/>
      <c r="M766" s="21"/>
    </row>
    <row r="767" spans="4:13" ht="12.75" x14ac:dyDescent="0.2">
      <c r="D767" s="21"/>
      <c r="E767" s="21"/>
      <c r="M767" s="21"/>
    </row>
    <row r="768" spans="4:13" ht="12.75" x14ac:dyDescent="0.2">
      <c r="D768" s="21"/>
      <c r="E768" s="21"/>
      <c r="M768" s="21"/>
    </row>
    <row r="769" spans="4:13" ht="12.75" x14ac:dyDescent="0.2">
      <c r="D769" s="21"/>
      <c r="E769" s="21"/>
      <c r="M769" s="21"/>
    </row>
    <row r="770" spans="4:13" ht="12.75" x14ac:dyDescent="0.2">
      <c r="D770" s="21"/>
      <c r="E770" s="21"/>
      <c r="M770" s="21"/>
    </row>
    <row r="771" spans="4:13" ht="12.75" x14ac:dyDescent="0.2">
      <c r="D771" s="21"/>
      <c r="E771" s="21"/>
      <c r="M771" s="21"/>
    </row>
    <row r="772" spans="4:13" ht="12.75" x14ac:dyDescent="0.2">
      <c r="D772" s="21"/>
      <c r="E772" s="21"/>
      <c r="M772" s="21"/>
    </row>
    <row r="773" spans="4:13" ht="12.75" x14ac:dyDescent="0.2">
      <c r="D773" s="21"/>
      <c r="E773" s="21"/>
      <c r="M773" s="21"/>
    </row>
    <row r="774" spans="4:13" ht="12.75" x14ac:dyDescent="0.2">
      <c r="D774" s="21"/>
      <c r="E774" s="21"/>
      <c r="M774" s="21"/>
    </row>
    <row r="775" spans="4:13" ht="12.75" x14ac:dyDescent="0.2">
      <c r="D775" s="21"/>
      <c r="E775" s="21"/>
      <c r="M775" s="21"/>
    </row>
    <row r="776" spans="4:13" ht="12.75" x14ac:dyDescent="0.2">
      <c r="D776" s="21"/>
      <c r="E776" s="21"/>
      <c r="M776" s="21"/>
    </row>
    <row r="777" spans="4:13" ht="12.75" x14ac:dyDescent="0.2">
      <c r="D777" s="21"/>
      <c r="E777" s="21"/>
      <c r="M777" s="21"/>
    </row>
    <row r="778" spans="4:13" ht="12.75" x14ac:dyDescent="0.2">
      <c r="D778" s="21"/>
      <c r="E778" s="21"/>
      <c r="M778" s="21"/>
    </row>
    <row r="779" spans="4:13" ht="12.75" x14ac:dyDescent="0.2">
      <c r="D779" s="21"/>
      <c r="E779" s="21"/>
      <c r="M779" s="21"/>
    </row>
    <row r="780" spans="4:13" ht="12.75" x14ac:dyDescent="0.2">
      <c r="D780" s="21"/>
      <c r="E780" s="21"/>
      <c r="M780" s="21"/>
    </row>
    <row r="781" spans="4:13" ht="12.75" x14ac:dyDescent="0.2">
      <c r="D781" s="21"/>
      <c r="E781" s="21"/>
      <c r="M781" s="21"/>
    </row>
    <row r="782" spans="4:13" ht="12.75" x14ac:dyDescent="0.2">
      <c r="D782" s="21"/>
      <c r="E782" s="21"/>
      <c r="M782" s="21"/>
    </row>
    <row r="783" spans="4:13" ht="12.75" x14ac:dyDescent="0.2">
      <c r="D783" s="21"/>
      <c r="E783" s="21"/>
      <c r="M783" s="21"/>
    </row>
    <row r="784" spans="4:13" ht="12.75" x14ac:dyDescent="0.2">
      <c r="D784" s="21"/>
      <c r="E784" s="21"/>
      <c r="M784" s="21"/>
    </row>
    <row r="785" spans="4:13" ht="12.75" x14ac:dyDescent="0.2">
      <c r="D785" s="21"/>
      <c r="E785" s="21"/>
      <c r="M785" s="21"/>
    </row>
    <row r="786" spans="4:13" ht="12.75" x14ac:dyDescent="0.2">
      <c r="D786" s="21"/>
      <c r="E786" s="21"/>
      <c r="M786" s="21"/>
    </row>
    <row r="787" spans="4:13" ht="12.75" x14ac:dyDescent="0.2">
      <c r="D787" s="21"/>
      <c r="E787" s="21"/>
      <c r="M787" s="21"/>
    </row>
    <row r="788" spans="4:13" ht="12.75" x14ac:dyDescent="0.2">
      <c r="D788" s="21"/>
      <c r="E788" s="21"/>
      <c r="M788" s="21"/>
    </row>
    <row r="789" spans="4:13" ht="12.75" x14ac:dyDescent="0.2">
      <c r="D789" s="21"/>
      <c r="E789" s="21"/>
      <c r="M789" s="21"/>
    </row>
    <row r="790" spans="4:13" ht="12.75" x14ac:dyDescent="0.2">
      <c r="D790" s="21"/>
      <c r="E790" s="21"/>
      <c r="M790" s="21"/>
    </row>
    <row r="791" spans="4:13" ht="12.75" x14ac:dyDescent="0.2">
      <c r="D791" s="21"/>
      <c r="E791" s="21"/>
      <c r="M791" s="21"/>
    </row>
    <row r="792" spans="4:13" ht="12.75" x14ac:dyDescent="0.2">
      <c r="D792" s="21"/>
      <c r="E792" s="21"/>
      <c r="M792" s="21"/>
    </row>
    <row r="793" spans="4:13" ht="12.75" x14ac:dyDescent="0.2">
      <c r="D793" s="21"/>
      <c r="E793" s="21"/>
      <c r="M793" s="21"/>
    </row>
    <row r="794" spans="4:13" ht="12.75" x14ac:dyDescent="0.2">
      <c r="D794" s="21"/>
      <c r="E794" s="21"/>
      <c r="M794" s="21"/>
    </row>
    <row r="795" spans="4:13" ht="12.75" x14ac:dyDescent="0.2">
      <c r="D795" s="21"/>
      <c r="E795" s="21"/>
      <c r="M795" s="21"/>
    </row>
    <row r="796" spans="4:13" ht="12.75" x14ac:dyDescent="0.2">
      <c r="D796" s="21"/>
      <c r="E796" s="21"/>
      <c r="M796" s="21"/>
    </row>
    <row r="797" spans="4:13" ht="12.75" x14ac:dyDescent="0.2">
      <c r="D797" s="21"/>
      <c r="E797" s="21"/>
      <c r="M797" s="21"/>
    </row>
    <row r="798" spans="4:13" ht="12.75" x14ac:dyDescent="0.2">
      <c r="D798" s="21"/>
      <c r="E798" s="21"/>
      <c r="M798" s="21"/>
    </row>
    <row r="799" spans="4:13" ht="12.75" x14ac:dyDescent="0.2">
      <c r="D799" s="21"/>
      <c r="E799" s="21"/>
      <c r="M799" s="21"/>
    </row>
    <row r="800" spans="4:13" ht="12.75" x14ac:dyDescent="0.2">
      <c r="D800" s="21"/>
      <c r="E800" s="21"/>
      <c r="M800" s="21"/>
    </row>
    <row r="801" spans="4:13" ht="12.75" x14ac:dyDescent="0.2">
      <c r="D801" s="21"/>
      <c r="E801" s="21"/>
      <c r="M801" s="21"/>
    </row>
    <row r="802" spans="4:13" ht="12.75" x14ac:dyDescent="0.2">
      <c r="D802" s="21"/>
      <c r="E802" s="21"/>
      <c r="M802" s="21"/>
    </row>
    <row r="803" spans="4:13" ht="12.75" x14ac:dyDescent="0.2">
      <c r="D803" s="21"/>
      <c r="E803" s="21"/>
      <c r="M803" s="21"/>
    </row>
    <row r="804" spans="4:13" ht="12.75" x14ac:dyDescent="0.2">
      <c r="D804" s="21"/>
      <c r="E804" s="21"/>
      <c r="M804" s="21"/>
    </row>
    <row r="805" spans="4:13" ht="12.75" x14ac:dyDescent="0.2">
      <c r="D805" s="21"/>
      <c r="E805" s="21"/>
      <c r="M805" s="21"/>
    </row>
    <row r="806" spans="4:13" ht="12.75" x14ac:dyDescent="0.2">
      <c r="D806" s="21"/>
      <c r="E806" s="21"/>
      <c r="M806" s="21"/>
    </row>
    <row r="807" spans="4:13" ht="12.75" x14ac:dyDescent="0.2">
      <c r="D807" s="21"/>
      <c r="E807" s="21"/>
      <c r="M807" s="21"/>
    </row>
    <row r="808" spans="4:13" ht="12.75" x14ac:dyDescent="0.2">
      <c r="D808" s="21"/>
      <c r="E808" s="21"/>
      <c r="M808" s="21"/>
    </row>
    <row r="809" spans="4:13" ht="12.75" x14ac:dyDescent="0.2">
      <c r="D809" s="21"/>
      <c r="E809" s="21"/>
      <c r="M809" s="21"/>
    </row>
    <row r="810" spans="4:13" ht="12.75" x14ac:dyDescent="0.2">
      <c r="D810" s="21"/>
      <c r="E810" s="21"/>
      <c r="M810" s="21"/>
    </row>
    <row r="811" spans="4:13" ht="12.75" x14ac:dyDescent="0.2">
      <c r="D811" s="21"/>
      <c r="E811" s="21"/>
      <c r="M811" s="21"/>
    </row>
    <row r="812" spans="4:13" ht="12.75" x14ac:dyDescent="0.2">
      <c r="D812" s="21"/>
      <c r="E812" s="21"/>
      <c r="M812" s="21"/>
    </row>
    <row r="813" spans="4:13" ht="12.75" x14ac:dyDescent="0.2">
      <c r="D813" s="21"/>
      <c r="E813" s="21"/>
      <c r="M813" s="21"/>
    </row>
    <row r="814" spans="4:13" ht="12.75" x14ac:dyDescent="0.2">
      <c r="D814" s="21"/>
      <c r="E814" s="21"/>
      <c r="M814" s="21"/>
    </row>
    <row r="815" spans="4:13" ht="12.75" x14ac:dyDescent="0.2">
      <c r="D815" s="21"/>
      <c r="E815" s="21"/>
      <c r="M815" s="21"/>
    </row>
    <row r="816" spans="4:13" ht="12.75" x14ac:dyDescent="0.2">
      <c r="D816" s="21"/>
      <c r="E816" s="21"/>
      <c r="M816" s="21"/>
    </row>
    <row r="817" spans="4:13" ht="12.75" x14ac:dyDescent="0.2">
      <c r="D817" s="21"/>
      <c r="E817" s="21"/>
      <c r="M817" s="21"/>
    </row>
    <row r="818" spans="4:13" ht="12.75" x14ac:dyDescent="0.2">
      <c r="D818" s="21"/>
      <c r="E818" s="21"/>
      <c r="M818" s="21"/>
    </row>
    <row r="819" spans="4:13" ht="12.75" x14ac:dyDescent="0.2">
      <c r="D819" s="21"/>
      <c r="E819" s="21"/>
      <c r="M819" s="21"/>
    </row>
    <row r="820" spans="4:13" ht="12.75" x14ac:dyDescent="0.2">
      <c r="D820" s="21"/>
      <c r="E820" s="21"/>
      <c r="M820" s="21"/>
    </row>
    <row r="821" spans="4:13" ht="12.75" x14ac:dyDescent="0.2">
      <c r="D821" s="21"/>
      <c r="E821" s="21"/>
      <c r="M821" s="21"/>
    </row>
    <row r="822" spans="4:13" ht="12.75" x14ac:dyDescent="0.2">
      <c r="D822" s="21"/>
      <c r="E822" s="21"/>
      <c r="M822" s="21"/>
    </row>
    <row r="823" spans="4:13" ht="12.75" x14ac:dyDescent="0.2">
      <c r="D823" s="21"/>
      <c r="E823" s="21"/>
      <c r="M823" s="21"/>
    </row>
    <row r="824" spans="4:13" ht="12.75" x14ac:dyDescent="0.2">
      <c r="D824" s="21"/>
      <c r="E824" s="21"/>
      <c r="M824" s="21"/>
    </row>
    <row r="825" spans="4:13" ht="12.75" x14ac:dyDescent="0.2">
      <c r="D825" s="21"/>
      <c r="E825" s="21"/>
      <c r="M825" s="21"/>
    </row>
    <row r="826" spans="4:13" ht="12.75" x14ac:dyDescent="0.2">
      <c r="D826" s="21"/>
      <c r="E826" s="21"/>
      <c r="M826" s="21"/>
    </row>
    <row r="827" spans="4:13" ht="12.75" x14ac:dyDescent="0.2">
      <c r="D827" s="21"/>
      <c r="E827" s="21"/>
      <c r="M827" s="21"/>
    </row>
    <row r="828" spans="4:13" ht="12.75" x14ac:dyDescent="0.2">
      <c r="D828" s="21"/>
      <c r="E828" s="21"/>
      <c r="M828" s="21"/>
    </row>
    <row r="829" spans="4:13" ht="12.75" x14ac:dyDescent="0.2">
      <c r="D829" s="21"/>
      <c r="E829" s="21"/>
      <c r="M829" s="21"/>
    </row>
    <row r="830" spans="4:13" ht="12.75" x14ac:dyDescent="0.2">
      <c r="D830" s="21"/>
      <c r="E830" s="21"/>
      <c r="M830" s="21"/>
    </row>
    <row r="831" spans="4:13" ht="12.75" x14ac:dyDescent="0.2">
      <c r="D831" s="21"/>
      <c r="E831" s="21"/>
      <c r="M831" s="21"/>
    </row>
    <row r="832" spans="4:13" ht="12.75" x14ac:dyDescent="0.2">
      <c r="D832" s="21"/>
      <c r="E832" s="21"/>
      <c r="M832" s="21"/>
    </row>
    <row r="833" spans="4:13" ht="12.75" x14ac:dyDescent="0.2">
      <c r="D833" s="21"/>
      <c r="E833" s="21"/>
      <c r="M833" s="21"/>
    </row>
    <row r="834" spans="4:13" ht="12.75" x14ac:dyDescent="0.2">
      <c r="D834" s="21"/>
      <c r="E834" s="21"/>
      <c r="M834" s="21"/>
    </row>
    <row r="835" spans="4:13" ht="12.75" x14ac:dyDescent="0.2">
      <c r="D835" s="21"/>
      <c r="E835" s="21"/>
      <c r="M835" s="21"/>
    </row>
    <row r="836" spans="4:13" ht="12.75" x14ac:dyDescent="0.2">
      <c r="D836" s="21"/>
      <c r="E836" s="21"/>
      <c r="M836" s="21"/>
    </row>
    <row r="837" spans="4:13" ht="12.75" x14ac:dyDescent="0.2">
      <c r="D837" s="21"/>
      <c r="E837" s="21"/>
      <c r="M837" s="21"/>
    </row>
    <row r="838" spans="4:13" ht="12.75" x14ac:dyDescent="0.2">
      <c r="D838" s="21"/>
      <c r="E838" s="21"/>
      <c r="M838" s="21"/>
    </row>
    <row r="839" spans="4:13" ht="12.75" x14ac:dyDescent="0.2">
      <c r="D839" s="21"/>
      <c r="E839" s="21"/>
      <c r="M839" s="21"/>
    </row>
    <row r="840" spans="4:13" ht="12.75" x14ac:dyDescent="0.2">
      <c r="D840" s="21"/>
      <c r="E840" s="21"/>
      <c r="M840" s="21"/>
    </row>
    <row r="841" spans="4:13" ht="12.75" x14ac:dyDescent="0.2">
      <c r="D841" s="21"/>
      <c r="E841" s="21"/>
      <c r="M841" s="21"/>
    </row>
    <row r="842" spans="4:13" ht="12.75" x14ac:dyDescent="0.2">
      <c r="D842" s="21"/>
      <c r="E842" s="21"/>
      <c r="M842" s="21"/>
    </row>
    <row r="843" spans="4:13" ht="12.75" x14ac:dyDescent="0.2">
      <c r="D843" s="21"/>
      <c r="E843" s="21"/>
      <c r="M843" s="21"/>
    </row>
    <row r="844" spans="4:13" ht="12.75" x14ac:dyDescent="0.2">
      <c r="D844" s="21"/>
      <c r="E844" s="21"/>
      <c r="M844" s="21"/>
    </row>
    <row r="845" spans="4:13" ht="12.75" x14ac:dyDescent="0.2">
      <c r="D845" s="21"/>
      <c r="E845" s="21"/>
      <c r="M845" s="21"/>
    </row>
    <row r="846" spans="4:13" ht="12.75" x14ac:dyDescent="0.2">
      <c r="D846" s="21"/>
      <c r="E846" s="21"/>
      <c r="M846" s="21"/>
    </row>
    <row r="847" spans="4:13" ht="12.75" x14ac:dyDescent="0.2">
      <c r="D847" s="21"/>
      <c r="E847" s="21"/>
      <c r="M847" s="21"/>
    </row>
    <row r="848" spans="4:13" ht="12.75" x14ac:dyDescent="0.2">
      <c r="D848" s="21"/>
      <c r="E848" s="21"/>
      <c r="M848" s="21"/>
    </row>
    <row r="849" spans="4:13" ht="12.75" x14ac:dyDescent="0.2">
      <c r="D849" s="21"/>
      <c r="E849" s="21"/>
      <c r="M849" s="21"/>
    </row>
    <row r="850" spans="4:13" ht="12.75" x14ac:dyDescent="0.2">
      <c r="D850" s="21"/>
      <c r="E850" s="21"/>
      <c r="M850" s="21"/>
    </row>
    <row r="851" spans="4:13" ht="12.75" x14ac:dyDescent="0.2">
      <c r="D851" s="21"/>
      <c r="E851" s="21"/>
      <c r="M851" s="21"/>
    </row>
    <row r="852" spans="4:13" ht="12.75" x14ac:dyDescent="0.2">
      <c r="D852" s="21"/>
      <c r="E852" s="21"/>
      <c r="M852" s="21"/>
    </row>
    <row r="853" spans="4:13" ht="12.75" x14ac:dyDescent="0.2">
      <c r="D853" s="21"/>
      <c r="E853" s="21"/>
      <c r="M853" s="21"/>
    </row>
    <row r="854" spans="4:13" ht="12.75" x14ac:dyDescent="0.2">
      <c r="D854" s="21"/>
      <c r="E854" s="21"/>
      <c r="M854" s="21"/>
    </row>
    <row r="855" spans="4:13" ht="12.75" x14ac:dyDescent="0.2">
      <c r="D855" s="21"/>
      <c r="E855" s="21"/>
      <c r="M855" s="21"/>
    </row>
    <row r="856" spans="4:13" ht="12.75" x14ac:dyDescent="0.2">
      <c r="D856" s="21"/>
      <c r="E856" s="21"/>
      <c r="M856" s="21"/>
    </row>
    <row r="857" spans="4:13" ht="12.75" x14ac:dyDescent="0.2">
      <c r="D857" s="21"/>
      <c r="E857" s="21"/>
      <c r="M857" s="21"/>
    </row>
    <row r="858" spans="4:13" ht="12.75" x14ac:dyDescent="0.2">
      <c r="D858" s="21"/>
      <c r="E858" s="21"/>
      <c r="M858" s="21"/>
    </row>
    <row r="859" spans="4:13" ht="12.75" x14ac:dyDescent="0.2">
      <c r="D859" s="21"/>
      <c r="E859" s="21"/>
      <c r="M859" s="21"/>
    </row>
    <row r="860" spans="4:13" ht="12.75" x14ac:dyDescent="0.2">
      <c r="D860" s="21"/>
      <c r="E860" s="21"/>
      <c r="M860" s="21"/>
    </row>
    <row r="861" spans="4:13" ht="12.75" x14ac:dyDescent="0.2">
      <c r="D861" s="21"/>
      <c r="E861" s="21"/>
      <c r="M861" s="21"/>
    </row>
    <row r="862" spans="4:13" ht="12.75" x14ac:dyDescent="0.2">
      <c r="D862" s="21"/>
      <c r="E862" s="21"/>
      <c r="M862" s="21"/>
    </row>
    <row r="863" spans="4:13" ht="12.75" x14ac:dyDescent="0.2">
      <c r="D863" s="21"/>
      <c r="E863" s="21"/>
      <c r="M863" s="21"/>
    </row>
    <row r="864" spans="4:13" ht="12.75" x14ac:dyDescent="0.2">
      <c r="D864" s="21"/>
      <c r="E864" s="21"/>
      <c r="M864" s="21"/>
    </row>
    <row r="865" spans="4:13" ht="12.75" x14ac:dyDescent="0.2">
      <c r="D865" s="21"/>
      <c r="E865" s="21"/>
      <c r="M865" s="21"/>
    </row>
    <row r="866" spans="4:13" ht="12.75" x14ac:dyDescent="0.2">
      <c r="D866" s="21"/>
      <c r="E866" s="21"/>
      <c r="M866" s="21"/>
    </row>
    <row r="867" spans="4:13" ht="12.75" x14ac:dyDescent="0.2">
      <c r="D867" s="21"/>
      <c r="E867" s="21"/>
      <c r="M867" s="21"/>
    </row>
    <row r="868" spans="4:13" ht="12.75" x14ac:dyDescent="0.2">
      <c r="D868" s="21"/>
      <c r="E868" s="21"/>
      <c r="M868" s="21"/>
    </row>
    <row r="869" spans="4:13" ht="12.75" x14ac:dyDescent="0.2">
      <c r="D869" s="21"/>
      <c r="E869" s="21"/>
      <c r="M869" s="21"/>
    </row>
    <row r="870" spans="4:13" ht="12.75" x14ac:dyDescent="0.2">
      <c r="D870" s="21"/>
      <c r="E870" s="21"/>
      <c r="M870" s="21"/>
    </row>
    <row r="871" spans="4:13" ht="12.75" x14ac:dyDescent="0.2">
      <c r="D871" s="21"/>
      <c r="E871" s="21"/>
      <c r="M871" s="21"/>
    </row>
    <row r="872" spans="4:13" ht="12.75" x14ac:dyDescent="0.2">
      <c r="D872" s="21"/>
      <c r="E872" s="21"/>
      <c r="M872" s="21"/>
    </row>
    <row r="873" spans="4:13" ht="12.75" x14ac:dyDescent="0.2">
      <c r="D873" s="21"/>
      <c r="E873" s="21"/>
      <c r="M873" s="21"/>
    </row>
    <row r="874" spans="4:13" ht="12.75" x14ac:dyDescent="0.2">
      <c r="D874" s="21"/>
      <c r="E874" s="21"/>
      <c r="M874" s="21"/>
    </row>
    <row r="875" spans="4:13" ht="12.75" x14ac:dyDescent="0.2">
      <c r="D875" s="21"/>
      <c r="E875" s="21"/>
      <c r="M875" s="21"/>
    </row>
    <row r="876" spans="4:13" ht="12.75" x14ac:dyDescent="0.2">
      <c r="D876" s="21"/>
      <c r="E876" s="21"/>
      <c r="M876" s="21"/>
    </row>
    <row r="877" spans="4:13" ht="12.75" x14ac:dyDescent="0.2">
      <c r="D877" s="21"/>
      <c r="E877" s="21"/>
      <c r="M877" s="21"/>
    </row>
    <row r="878" spans="4:13" ht="12.75" x14ac:dyDescent="0.2">
      <c r="D878" s="21"/>
      <c r="E878" s="21"/>
      <c r="M878" s="21"/>
    </row>
    <row r="879" spans="4:13" ht="12.75" x14ac:dyDescent="0.2">
      <c r="D879" s="21"/>
      <c r="E879" s="21"/>
      <c r="M879" s="21"/>
    </row>
    <row r="880" spans="4:13" ht="12.75" x14ac:dyDescent="0.2">
      <c r="D880" s="21"/>
      <c r="E880" s="21"/>
      <c r="M880" s="21"/>
    </row>
    <row r="881" spans="4:13" ht="12.75" x14ac:dyDescent="0.2">
      <c r="D881" s="21"/>
      <c r="E881" s="21"/>
      <c r="M881" s="21"/>
    </row>
    <row r="882" spans="4:13" ht="12.75" x14ac:dyDescent="0.2">
      <c r="D882" s="21"/>
      <c r="E882" s="21"/>
      <c r="M882" s="21"/>
    </row>
    <row r="883" spans="4:13" ht="12.75" x14ac:dyDescent="0.2">
      <c r="D883" s="21"/>
      <c r="E883" s="21"/>
      <c r="M883" s="21"/>
    </row>
    <row r="884" spans="4:13" ht="12.75" x14ac:dyDescent="0.2">
      <c r="D884" s="21"/>
      <c r="E884" s="21"/>
      <c r="M884" s="21"/>
    </row>
    <row r="885" spans="4:13" ht="12.75" x14ac:dyDescent="0.2">
      <c r="D885" s="21"/>
      <c r="E885" s="21"/>
      <c r="M885" s="21"/>
    </row>
    <row r="886" spans="4:13" ht="12.75" x14ac:dyDescent="0.2">
      <c r="D886" s="21"/>
      <c r="E886" s="21"/>
      <c r="M886" s="21"/>
    </row>
    <row r="887" spans="4:13" ht="12.75" x14ac:dyDescent="0.2">
      <c r="D887" s="21"/>
      <c r="E887" s="21"/>
      <c r="M887" s="21"/>
    </row>
    <row r="888" spans="4:13" ht="12.75" x14ac:dyDescent="0.2">
      <c r="D888" s="21"/>
      <c r="E888" s="21"/>
      <c r="M888" s="21"/>
    </row>
    <row r="889" spans="4:13" ht="12.75" x14ac:dyDescent="0.2">
      <c r="D889" s="21"/>
      <c r="E889" s="21"/>
      <c r="M889" s="21"/>
    </row>
    <row r="890" spans="4:13" ht="12.75" x14ac:dyDescent="0.2">
      <c r="D890" s="21"/>
      <c r="E890" s="21"/>
      <c r="M890" s="21"/>
    </row>
    <row r="891" spans="4:13" ht="12.75" x14ac:dyDescent="0.2">
      <c r="D891" s="21"/>
      <c r="E891" s="21"/>
      <c r="M891" s="21"/>
    </row>
    <row r="892" spans="4:13" ht="12.75" x14ac:dyDescent="0.2">
      <c r="D892" s="21"/>
      <c r="E892" s="21"/>
      <c r="M892" s="21"/>
    </row>
    <row r="893" spans="4:13" ht="12.75" x14ac:dyDescent="0.2">
      <c r="D893" s="21"/>
      <c r="E893" s="21"/>
      <c r="M893" s="21"/>
    </row>
    <row r="894" spans="4:13" ht="12.75" x14ac:dyDescent="0.2">
      <c r="D894" s="21"/>
      <c r="E894" s="21"/>
      <c r="M894" s="21"/>
    </row>
    <row r="895" spans="4:13" ht="12.75" x14ac:dyDescent="0.2">
      <c r="D895" s="21"/>
      <c r="E895" s="21"/>
      <c r="M895" s="21"/>
    </row>
    <row r="896" spans="4:13" ht="12.75" x14ac:dyDescent="0.2">
      <c r="D896" s="21"/>
      <c r="E896" s="21"/>
      <c r="M896" s="21"/>
    </row>
    <row r="897" spans="4:13" ht="12.75" x14ac:dyDescent="0.2">
      <c r="D897" s="21"/>
      <c r="E897" s="21"/>
      <c r="M897" s="21"/>
    </row>
    <row r="898" spans="4:13" ht="12.75" x14ac:dyDescent="0.2">
      <c r="D898" s="21"/>
      <c r="E898" s="21"/>
      <c r="M898" s="21"/>
    </row>
    <row r="899" spans="4:13" ht="12.75" x14ac:dyDescent="0.2">
      <c r="D899" s="21"/>
      <c r="E899" s="21"/>
      <c r="M899" s="21"/>
    </row>
    <row r="900" spans="4:13" ht="12.75" x14ac:dyDescent="0.2">
      <c r="D900" s="21"/>
      <c r="E900" s="21"/>
      <c r="M900" s="21"/>
    </row>
    <row r="901" spans="4:13" ht="12.75" x14ac:dyDescent="0.2">
      <c r="D901" s="21"/>
      <c r="E901" s="21"/>
      <c r="M901" s="21"/>
    </row>
    <row r="902" spans="4:13" ht="12.75" x14ac:dyDescent="0.2">
      <c r="D902" s="21"/>
      <c r="E902" s="21"/>
      <c r="M902" s="21"/>
    </row>
    <row r="903" spans="4:13" ht="12.75" x14ac:dyDescent="0.2">
      <c r="D903" s="21"/>
      <c r="E903" s="21"/>
      <c r="M903" s="21"/>
    </row>
    <row r="904" spans="4:13" ht="12.75" x14ac:dyDescent="0.2">
      <c r="D904" s="21"/>
      <c r="E904" s="21"/>
      <c r="M904" s="21"/>
    </row>
    <row r="905" spans="4:13" ht="12.75" x14ac:dyDescent="0.2">
      <c r="D905" s="21"/>
      <c r="E905" s="21"/>
      <c r="M905" s="21"/>
    </row>
    <row r="906" spans="4:13" ht="12.75" x14ac:dyDescent="0.2">
      <c r="D906" s="21"/>
      <c r="E906" s="21"/>
      <c r="M906" s="21"/>
    </row>
    <row r="907" spans="4:13" ht="12.75" x14ac:dyDescent="0.2">
      <c r="D907" s="21"/>
      <c r="E907" s="21"/>
      <c r="M907" s="21"/>
    </row>
    <row r="908" spans="4:13" ht="12.75" x14ac:dyDescent="0.2">
      <c r="D908" s="21"/>
      <c r="E908" s="21"/>
      <c r="M908" s="21"/>
    </row>
    <row r="909" spans="4:13" ht="12.75" x14ac:dyDescent="0.2">
      <c r="D909" s="21"/>
      <c r="E909" s="21"/>
      <c r="M909" s="21"/>
    </row>
    <row r="910" spans="4:13" ht="12.75" x14ac:dyDescent="0.2">
      <c r="D910" s="21"/>
      <c r="E910" s="21"/>
      <c r="M910" s="21"/>
    </row>
    <row r="911" spans="4:13" ht="12.75" x14ac:dyDescent="0.2">
      <c r="D911" s="21"/>
      <c r="E911" s="21"/>
      <c r="M911" s="21"/>
    </row>
    <row r="912" spans="4:13" ht="12.75" x14ac:dyDescent="0.2">
      <c r="D912" s="21"/>
      <c r="E912" s="21"/>
      <c r="M912" s="21"/>
    </row>
    <row r="913" spans="4:13" ht="12.75" x14ac:dyDescent="0.2">
      <c r="D913" s="21"/>
      <c r="E913" s="21"/>
      <c r="M913" s="21"/>
    </row>
    <row r="914" spans="4:13" ht="12.75" x14ac:dyDescent="0.2">
      <c r="D914" s="21"/>
      <c r="E914" s="21"/>
      <c r="M914" s="21"/>
    </row>
    <row r="915" spans="4:13" ht="12.75" x14ac:dyDescent="0.2">
      <c r="D915" s="21"/>
      <c r="E915" s="21"/>
      <c r="M915" s="21"/>
    </row>
    <row r="916" spans="4:13" ht="12.75" x14ac:dyDescent="0.2">
      <c r="D916" s="21"/>
      <c r="E916" s="21"/>
      <c r="M916" s="21"/>
    </row>
    <row r="917" spans="4:13" ht="12.75" x14ac:dyDescent="0.2">
      <c r="D917" s="21"/>
      <c r="E917" s="21"/>
      <c r="M917" s="21"/>
    </row>
    <row r="918" spans="4:13" ht="12.75" x14ac:dyDescent="0.2">
      <c r="D918" s="21"/>
      <c r="E918" s="21"/>
      <c r="M918" s="21"/>
    </row>
    <row r="919" spans="4:13" ht="12.75" x14ac:dyDescent="0.2">
      <c r="D919" s="21"/>
      <c r="E919" s="21"/>
      <c r="M919" s="21"/>
    </row>
    <row r="920" spans="4:13" ht="12.75" x14ac:dyDescent="0.2">
      <c r="D920" s="21"/>
      <c r="E920" s="21"/>
      <c r="M920" s="21"/>
    </row>
    <row r="921" spans="4:13" ht="12.75" x14ac:dyDescent="0.2">
      <c r="D921" s="21"/>
      <c r="E921" s="21"/>
      <c r="M921" s="21"/>
    </row>
    <row r="922" spans="4:13" ht="12.75" x14ac:dyDescent="0.2">
      <c r="D922" s="21"/>
      <c r="E922" s="21"/>
      <c r="M922" s="21"/>
    </row>
    <row r="923" spans="4:13" ht="12.75" x14ac:dyDescent="0.2">
      <c r="D923" s="21"/>
      <c r="E923" s="21"/>
      <c r="M923" s="21"/>
    </row>
    <row r="924" spans="4:13" ht="12.75" x14ac:dyDescent="0.2">
      <c r="D924" s="21"/>
      <c r="E924" s="21"/>
      <c r="M924" s="21"/>
    </row>
    <row r="925" spans="4:13" ht="12.75" x14ac:dyDescent="0.2">
      <c r="D925" s="21"/>
      <c r="E925" s="21"/>
      <c r="M925" s="21"/>
    </row>
    <row r="926" spans="4:13" ht="12.75" x14ac:dyDescent="0.2">
      <c r="D926" s="21"/>
      <c r="E926" s="21"/>
      <c r="M926" s="21"/>
    </row>
    <row r="927" spans="4:13" ht="12.75" x14ac:dyDescent="0.2">
      <c r="D927" s="21"/>
      <c r="E927" s="21"/>
      <c r="M927" s="21"/>
    </row>
    <row r="928" spans="4:13" ht="12.75" x14ac:dyDescent="0.2">
      <c r="D928" s="21"/>
      <c r="E928" s="21"/>
      <c r="M928" s="21"/>
    </row>
    <row r="929" spans="4:13" ht="12.75" x14ac:dyDescent="0.2">
      <c r="D929" s="21"/>
      <c r="E929" s="21"/>
      <c r="M929" s="21"/>
    </row>
    <row r="930" spans="4:13" ht="12.75" x14ac:dyDescent="0.2">
      <c r="D930" s="21"/>
      <c r="E930" s="21"/>
      <c r="M930" s="21"/>
    </row>
    <row r="931" spans="4:13" ht="12.75" x14ac:dyDescent="0.2">
      <c r="D931" s="21"/>
      <c r="E931" s="21"/>
      <c r="M931" s="21"/>
    </row>
    <row r="932" spans="4:13" ht="12.75" x14ac:dyDescent="0.2">
      <c r="D932" s="21"/>
      <c r="E932" s="21"/>
      <c r="M932" s="21"/>
    </row>
    <row r="933" spans="4:13" ht="12.75" x14ac:dyDescent="0.2">
      <c r="D933" s="21"/>
      <c r="E933" s="21"/>
      <c r="M933" s="21"/>
    </row>
    <row r="934" spans="4:13" ht="12.75" x14ac:dyDescent="0.2">
      <c r="D934" s="21"/>
      <c r="E934" s="21"/>
      <c r="M934" s="21"/>
    </row>
    <row r="935" spans="4:13" ht="12.75" x14ac:dyDescent="0.2">
      <c r="D935" s="21"/>
      <c r="E935" s="21"/>
      <c r="M935" s="21"/>
    </row>
    <row r="936" spans="4:13" ht="12.75" x14ac:dyDescent="0.2">
      <c r="D936" s="21"/>
      <c r="E936" s="21"/>
      <c r="M936" s="21"/>
    </row>
    <row r="937" spans="4:13" ht="12.75" x14ac:dyDescent="0.2">
      <c r="D937" s="21"/>
      <c r="E937" s="21"/>
      <c r="M937" s="21"/>
    </row>
    <row r="938" spans="4:13" ht="12.75" x14ac:dyDescent="0.2">
      <c r="D938" s="21"/>
      <c r="E938" s="21"/>
      <c r="M938" s="21"/>
    </row>
    <row r="939" spans="4:13" ht="12.75" x14ac:dyDescent="0.2">
      <c r="D939" s="21"/>
      <c r="E939" s="21"/>
      <c r="M939" s="21"/>
    </row>
    <row r="940" spans="4:13" ht="12.75" x14ac:dyDescent="0.2">
      <c r="D940" s="21"/>
      <c r="E940" s="21"/>
      <c r="M940" s="21"/>
    </row>
    <row r="941" spans="4:13" ht="12.75" x14ac:dyDescent="0.2">
      <c r="D941" s="21"/>
      <c r="E941" s="21"/>
      <c r="M941" s="21"/>
    </row>
    <row r="942" spans="4:13" ht="12.75" x14ac:dyDescent="0.2">
      <c r="D942" s="21"/>
      <c r="E942" s="21"/>
      <c r="M942" s="21"/>
    </row>
    <row r="943" spans="4:13" ht="12.75" x14ac:dyDescent="0.2">
      <c r="D943" s="21"/>
      <c r="E943" s="21"/>
      <c r="M943" s="21"/>
    </row>
    <row r="944" spans="4:13" ht="12.75" x14ac:dyDescent="0.2">
      <c r="D944" s="21"/>
      <c r="E944" s="21"/>
      <c r="M944" s="21"/>
    </row>
    <row r="945" spans="4:13" ht="12.75" x14ac:dyDescent="0.2">
      <c r="D945" s="21"/>
      <c r="E945" s="21"/>
      <c r="M945" s="21"/>
    </row>
    <row r="946" spans="4:13" ht="12.75" x14ac:dyDescent="0.2">
      <c r="D946" s="21"/>
      <c r="E946" s="21"/>
      <c r="M946" s="21"/>
    </row>
    <row r="947" spans="4:13" ht="12.75" x14ac:dyDescent="0.2">
      <c r="D947" s="21"/>
      <c r="E947" s="21"/>
      <c r="M947" s="21"/>
    </row>
    <row r="948" spans="4:13" ht="12.75" x14ac:dyDescent="0.2">
      <c r="D948" s="21"/>
      <c r="E948" s="21"/>
      <c r="M948" s="21"/>
    </row>
    <row r="949" spans="4:13" ht="12.75" x14ac:dyDescent="0.2">
      <c r="D949" s="21"/>
      <c r="E949" s="21"/>
      <c r="M949" s="21"/>
    </row>
    <row r="950" spans="4:13" ht="12.75" x14ac:dyDescent="0.2">
      <c r="D950" s="21"/>
      <c r="E950" s="21"/>
      <c r="M950" s="21"/>
    </row>
    <row r="951" spans="4:13" ht="12.75" x14ac:dyDescent="0.2">
      <c r="D951" s="21"/>
      <c r="E951" s="21"/>
      <c r="M951" s="21"/>
    </row>
    <row r="952" spans="4:13" ht="12.75" x14ac:dyDescent="0.2">
      <c r="D952" s="21"/>
      <c r="E952" s="21"/>
      <c r="M952" s="21"/>
    </row>
    <row r="953" spans="4:13" ht="12.75" x14ac:dyDescent="0.2">
      <c r="D953" s="21"/>
      <c r="E953" s="21"/>
      <c r="M953" s="21"/>
    </row>
    <row r="954" spans="4:13" ht="12.75" x14ac:dyDescent="0.2">
      <c r="D954" s="21"/>
      <c r="E954" s="21"/>
      <c r="M954" s="21"/>
    </row>
    <row r="955" spans="4:13" ht="12.75" x14ac:dyDescent="0.2">
      <c r="D955" s="21"/>
      <c r="E955" s="21"/>
      <c r="M955" s="21"/>
    </row>
    <row r="956" spans="4:13" ht="12.75" x14ac:dyDescent="0.2">
      <c r="D956" s="21"/>
      <c r="E956" s="21"/>
      <c r="M956" s="21"/>
    </row>
    <row r="957" spans="4:13" ht="12.75" x14ac:dyDescent="0.2">
      <c r="D957" s="21"/>
      <c r="E957" s="21"/>
      <c r="M957" s="21"/>
    </row>
    <row r="958" spans="4:13" ht="12.75" x14ac:dyDescent="0.2">
      <c r="D958" s="21"/>
      <c r="E958" s="21"/>
      <c r="M958" s="21"/>
    </row>
    <row r="959" spans="4:13" ht="12.75" x14ac:dyDescent="0.2">
      <c r="D959" s="21"/>
      <c r="E959" s="21"/>
      <c r="M959" s="21"/>
    </row>
    <row r="960" spans="4:13" ht="12.75" x14ac:dyDescent="0.2">
      <c r="D960" s="21"/>
      <c r="E960" s="21"/>
      <c r="M960" s="21"/>
    </row>
    <row r="961" spans="4:13" ht="12.75" x14ac:dyDescent="0.2">
      <c r="D961" s="21"/>
      <c r="E961" s="21"/>
      <c r="M961" s="21"/>
    </row>
    <row r="962" spans="4:13" ht="12.75" x14ac:dyDescent="0.2">
      <c r="D962" s="21"/>
      <c r="E962" s="21"/>
      <c r="M962" s="21"/>
    </row>
    <row r="963" spans="4:13" ht="12.75" x14ac:dyDescent="0.2">
      <c r="D963" s="21"/>
      <c r="E963" s="21"/>
      <c r="M963" s="21"/>
    </row>
    <row r="964" spans="4:13" ht="12.75" x14ac:dyDescent="0.2">
      <c r="D964" s="21"/>
      <c r="E964" s="21"/>
      <c r="M964" s="21"/>
    </row>
    <row r="965" spans="4:13" ht="12.75" x14ac:dyDescent="0.2">
      <c r="D965" s="21"/>
      <c r="E965" s="21"/>
      <c r="M965" s="21"/>
    </row>
    <row r="966" spans="4:13" ht="12.75" x14ac:dyDescent="0.2">
      <c r="D966" s="21"/>
      <c r="E966" s="21"/>
      <c r="M966" s="21"/>
    </row>
    <row r="967" spans="4:13" ht="12.75" x14ac:dyDescent="0.2">
      <c r="D967" s="21"/>
      <c r="E967" s="21"/>
      <c r="M967" s="21"/>
    </row>
    <row r="968" spans="4:13" ht="12.75" x14ac:dyDescent="0.2">
      <c r="D968" s="21"/>
      <c r="E968" s="21"/>
      <c r="M968" s="21"/>
    </row>
    <row r="969" spans="4:13" ht="12.75" x14ac:dyDescent="0.2">
      <c r="D969" s="21"/>
      <c r="E969" s="21"/>
      <c r="M969" s="21"/>
    </row>
    <row r="970" spans="4:13" ht="12.75" x14ac:dyDescent="0.2">
      <c r="D970" s="21"/>
      <c r="E970" s="21"/>
      <c r="M970" s="21"/>
    </row>
    <row r="971" spans="4:13" ht="12.75" x14ac:dyDescent="0.2">
      <c r="D971" s="21"/>
      <c r="E971" s="21"/>
      <c r="M971" s="21"/>
    </row>
    <row r="972" spans="4:13" ht="12.75" x14ac:dyDescent="0.2">
      <c r="D972" s="21"/>
      <c r="E972" s="21"/>
      <c r="M972" s="21"/>
    </row>
    <row r="973" spans="4:13" ht="12.75" x14ac:dyDescent="0.2">
      <c r="D973" s="21"/>
      <c r="E973" s="21"/>
      <c r="M973" s="21"/>
    </row>
    <row r="974" spans="4:13" ht="12.75" x14ac:dyDescent="0.2">
      <c r="D974" s="21"/>
      <c r="E974" s="21"/>
      <c r="M974" s="21"/>
    </row>
  </sheetData>
  <mergeCells count="9">
    <mergeCell ref="A14:F14"/>
    <mergeCell ref="I14:N14"/>
    <mergeCell ref="Q14:V14"/>
    <mergeCell ref="A1:F1"/>
    <mergeCell ref="H1:M1"/>
    <mergeCell ref="O1:T1"/>
    <mergeCell ref="A44:F44"/>
    <mergeCell ref="I44:N44"/>
    <mergeCell ref="Q44:V44"/>
  </mergeCells>
  <conditionalFormatting sqref="I44:I66 Q44:Q66 A1:A12 A44:A66">
    <cfRule type="notContainsBlanks" dxfId="2" priority="2">
      <formula>LEN(TRIM(A1))&gt;0</formula>
    </cfRule>
  </conditionalFormatting>
  <conditionalFormatting sqref="H1:H11 O1:O11">
    <cfRule type="notContainsBlanks" dxfId="1" priority="3">
      <formula>LEN(TRIM(H1))&gt;0</formula>
    </cfRule>
  </conditionalFormatting>
  <conditionalFormatting sqref="H14:I24 Q14:Q24 A14:A36">
    <cfRule type="notContainsBlanks" dxfId="0" priority="1">
      <formula>LEN(TRIM(A14))&gt;0</formula>
    </cfRule>
  </conditionalFormatting>
  <printOptions horizontalCentered="1" gridLines="1"/>
  <pageMargins left="0.25" right="0.25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- June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Sameela Mirando|Purchasing Executive</dc:creator>
  <cp:lastModifiedBy>Sameela Mirando|Purchasing Executive</cp:lastModifiedBy>
  <dcterms:created xsi:type="dcterms:W3CDTF">2025-05-16T06:28:29Z</dcterms:created>
  <dcterms:modified xsi:type="dcterms:W3CDTF">2025-05-16T07:04:26Z</dcterms:modified>
</cp:coreProperties>
</file>