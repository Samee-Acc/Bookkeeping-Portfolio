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quadyn-my.sharepoint.com/personal/sameela_aquadynamics_lk/Documents/New folder/Karftsy/Sep 2026/"/>
    </mc:Choice>
  </mc:AlternateContent>
  <xr:revisionPtr revIDLastSave="0" documentId="8_{083F09D8-56D7-4CFE-89EA-7F56BE58FA1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September Report" sheetId="2" r:id="rId2"/>
    <sheet name="September Deta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" l="1"/>
  <c r="C44" i="2"/>
  <c r="D44" i="2"/>
  <c r="E44" i="2"/>
  <c r="F44" i="2"/>
  <c r="B23" i="2"/>
  <c r="C23" i="2"/>
  <c r="E23" i="2" s="1"/>
  <c r="D23" i="2"/>
  <c r="F23" i="2"/>
  <c r="B24" i="2"/>
  <c r="E24" i="2" s="1"/>
  <c r="C24" i="2"/>
  <c r="D24" i="2"/>
  <c r="F24" i="2"/>
  <c r="B25" i="2"/>
  <c r="E25" i="2" s="1"/>
  <c r="C25" i="2"/>
  <c r="D25" i="2"/>
  <c r="F25" i="2"/>
  <c r="B26" i="2"/>
  <c r="E26" i="2" s="1"/>
  <c r="C26" i="2"/>
  <c r="D26" i="2"/>
  <c r="F26" i="2"/>
  <c r="B27" i="2"/>
  <c r="E27" i="2" s="1"/>
  <c r="C27" i="2"/>
  <c r="D27" i="2"/>
  <c r="F27" i="2"/>
  <c r="B28" i="2"/>
  <c r="C28" i="2"/>
  <c r="D28" i="2"/>
  <c r="E28" i="2"/>
  <c r="F28" i="2"/>
  <c r="B29" i="2"/>
  <c r="C29" i="2"/>
  <c r="E29" i="2" s="1"/>
  <c r="D29" i="2"/>
  <c r="F29" i="2"/>
  <c r="B30" i="2"/>
  <c r="E30" i="2" s="1"/>
  <c r="C30" i="2"/>
  <c r="D30" i="2"/>
  <c r="F30" i="2"/>
  <c r="B31" i="2"/>
  <c r="C31" i="2"/>
  <c r="E31" i="2" s="1"/>
  <c r="D31" i="2"/>
  <c r="F31" i="2"/>
  <c r="B32" i="2"/>
  <c r="E32" i="2" s="1"/>
  <c r="C32" i="2"/>
  <c r="D32" i="2"/>
  <c r="F32" i="2"/>
  <c r="B33" i="2"/>
  <c r="E33" i="2" s="1"/>
  <c r="C33" i="2"/>
  <c r="D33" i="2"/>
  <c r="F33" i="2"/>
  <c r="B34" i="2"/>
  <c r="E34" i="2" s="1"/>
  <c r="C34" i="2"/>
  <c r="D34" i="2"/>
  <c r="F34" i="2"/>
  <c r="B35" i="2"/>
  <c r="E35" i="2" s="1"/>
  <c r="C35" i="2"/>
  <c r="D35" i="2"/>
  <c r="F35" i="2"/>
  <c r="B36" i="2"/>
  <c r="C36" i="2"/>
  <c r="D36" i="2"/>
  <c r="E36" i="2"/>
  <c r="F36" i="2"/>
  <c r="B37" i="2"/>
  <c r="C37" i="2"/>
  <c r="E37" i="2" s="1"/>
  <c r="D37" i="2"/>
  <c r="F37" i="2"/>
  <c r="B38" i="2"/>
  <c r="E38" i="2" s="1"/>
  <c r="C38" i="2"/>
  <c r="D38" i="2"/>
  <c r="F38" i="2"/>
  <c r="B39" i="2"/>
  <c r="C39" i="2"/>
  <c r="E39" i="2" s="1"/>
  <c r="D39" i="2"/>
  <c r="F39" i="2"/>
  <c r="B40" i="2"/>
  <c r="E40" i="2" s="1"/>
  <c r="C40" i="2"/>
  <c r="D40" i="2"/>
  <c r="F40" i="2"/>
  <c r="B41" i="2"/>
  <c r="E41" i="2" s="1"/>
  <c r="C41" i="2"/>
  <c r="D41" i="2"/>
  <c r="F41" i="2"/>
  <c r="B42" i="2"/>
  <c r="E42" i="2" s="1"/>
  <c r="C42" i="2"/>
  <c r="D42" i="2"/>
  <c r="F42" i="2"/>
  <c r="B43" i="2"/>
  <c r="E43" i="2" s="1"/>
  <c r="C43" i="2"/>
  <c r="D43" i="2"/>
  <c r="F43" i="2"/>
  <c r="B19" i="2"/>
  <c r="C19" i="2"/>
  <c r="D19" i="2"/>
  <c r="E19" i="2"/>
  <c r="F19" i="2"/>
  <c r="B14" i="2"/>
  <c r="E14" i="2" s="1"/>
  <c r="C14" i="2"/>
  <c r="D14" i="2"/>
  <c r="F14" i="2"/>
  <c r="B15" i="2"/>
  <c r="C15" i="2"/>
  <c r="D15" i="2"/>
  <c r="E15" i="2"/>
  <c r="F15" i="2"/>
  <c r="B16" i="2"/>
  <c r="E16" i="2" s="1"/>
  <c r="C16" i="2"/>
  <c r="D16" i="2"/>
  <c r="F16" i="2"/>
  <c r="B17" i="2"/>
  <c r="C17" i="2"/>
  <c r="E17" i="2" s="1"/>
  <c r="D17" i="2"/>
  <c r="F17" i="2"/>
  <c r="B18" i="2"/>
  <c r="E18" i="2" s="1"/>
  <c r="C18" i="2"/>
  <c r="D18" i="2"/>
  <c r="F18" i="2"/>
  <c r="B7" i="2"/>
  <c r="B10" i="2" s="1"/>
  <c r="C7" i="2"/>
  <c r="E7" i="2" s="1"/>
  <c r="D7" i="2"/>
  <c r="D10" i="2" s="1"/>
  <c r="B8" i="2"/>
  <c r="C8" i="2"/>
  <c r="D8" i="2"/>
  <c r="B9" i="2"/>
  <c r="C9" i="2"/>
  <c r="E9" i="2" s="1"/>
  <c r="D9" i="2"/>
  <c r="M4" i="2"/>
  <c r="I4" i="2"/>
  <c r="E4" i="2"/>
  <c r="A4" i="2"/>
  <c r="C10" i="2" l="1"/>
  <c r="E10" i="2" s="1"/>
  <c r="E8" i="2"/>
  <c r="F7" i="2"/>
  <c r="F10" i="2" l="1"/>
  <c r="F9" i="2"/>
  <c r="F8" i="2"/>
</calcChain>
</file>

<file path=xl/sharedStrings.xml><?xml version="1.0" encoding="utf-8"?>
<sst xmlns="http://schemas.openxmlformats.org/spreadsheetml/2006/main" count="2677" uniqueCount="475">
  <si>
    <t>01/09 - 04/09</t>
  </si>
  <si>
    <t>Uber</t>
  </si>
  <si>
    <t>Ashan</t>
  </si>
  <si>
    <t>132CA</t>
  </si>
  <si>
    <t>Rs950.00</t>
  </si>
  <si>
    <t>teriyaki rice</t>
  </si>
  <si>
    <t>PickMe</t>
  </si>
  <si>
    <t>Corrine</t>
  </si>
  <si>
    <t>pick-up</t>
  </si>
  <si>
    <t>Rs1,300.00</t>
  </si>
  <si>
    <t>teriyaki rce</t>
  </si>
  <si>
    <t>Pick-up</t>
  </si>
  <si>
    <t>Lakshan</t>
  </si>
  <si>
    <t>teriyaki 250</t>
  </si>
  <si>
    <t>Gas</t>
  </si>
  <si>
    <t>Rs650.00</t>
  </si>
  <si>
    <t>Jithendra</t>
  </si>
  <si>
    <t>Rs1,950.00</t>
  </si>
  <si>
    <t>thai rice x3</t>
  </si>
  <si>
    <t>Milinda</t>
  </si>
  <si>
    <t>05BF8</t>
  </si>
  <si>
    <t>Naveen</t>
  </si>
  <si>
    <t>Customer</t>
  </si>
  <si>
    <t>Week 1</t>
  </si>
  <si>
    <t>Daham</t>
  </si>
  <si>
    <t>4EB3E</t>
  </si>
  <si>
    <t>Week 2</t>
  </si>
  <si>
    <t>Anuradha</t>
  </si>
  <si>
    <t>teriyaki rice x 2</t>
  </si>
  <si>
    <t>Week 3</t>
  </si>
  <si>
    <t>Ranidu</t>
  </si>
  <si>
    <t>34D9C</t>
  </si>
  <si>
    <t>Week 4</t>
  </si>
  <si>
    <t>Rs1,200.00</t>
  </si>
  <si>
    <t>teriyaki 100, thai rice</t>
  </si>
  <si>
    <t>Week 5</t>
  </si>
  <si>
    <t>Meshal</t>
  </si>
  <si>
    <t>E71FD</t>
  </si>
  <si>
    <t>teriyki rice</t>
  </si>
  <si>
    <t>Total sales</t>
  </si>
  <si>
    <t>Laskhan</t>
  </si>
  <si>
    <t>Rs2,100.00</t>
  </si>
  <si>
    <t>teriyaki 250, thai 150</t>
  </si>
  <si>
    <t>Chanud</t>
  </si>
  <si>
    <t>thai rice</t>
  </si>
  <si>
    <t>Walk-in</t>
  </si>
  <si>
    <t>thai rice, teriyaki rice</t>
  </si>
  <si>
    <t>Danielle</t>
  </si>
  <si>
    <t>6B78C</t>
  </si>
  <si>
    <t>Rs800.00</t>
  </si>
  <si>
    <t>teriyaki 100</t>
  </si>
  <si>
    <t>Rajitha</t>
  </si>
  <si>
    <t>5D4BE</t>
  </si>
  <si>
    <t>Mhmd</t>
  </si>
  <si>
    <t>Shakila</t>
  </si>
  <si>
    <t>Hensman</t>
  </si>
  <si>
    <t>Abishek</t>
  </si>
  <si>
    <t>Rs1,800.00</t>
  </si>
  <si>
    <r>
      <t xml:space="preserve">thai rice x 2, </t>
    </r>
    <r>
      <rPr>
        <sz val="10"/>
        <color rgb="FFFF0000"/>
        <rFont val="Arial"/>
        <family val="2"/>
      </rPr>
      <t xml:space="preserve">vanilla shake </t>
    </r>
  </si>
  <si>
    <t>Dinusha</t>
  </si>
  <si>
    <t>4A315</t>
  </si>
  <si>
    <t>Rs1,750.00</t>
  </si>
  <si>
    <t>teriyaki rice, teriyaki 100</t>
  </si>
  <si>
    <t>Tharindu</t>
  </si>
  <si>
    <t>Promod</t>
  </si>
  <si>
    <t>teriykai rice</t>
  </si>
  <si>
    <t>Lahiru</t>
  </si>
  <si>
    <t>Rs550.00</t>
  </si>
  <si>
    <t>Randika</t>
  </si>
  <si>
    <t>Madhu</t>
  </si>
  <si>
    <t>ED5F0</t>
  </si>
  <si>
    <t>Shavio</t>
  </si>
  <si>
    <t>teriyaki 100x2, thai rice</t>
  </si>
  <si>
    <t>Bashith</t>
  </si>
  <si>
    <t>Rs1,150.00</t>
  </si>
  <si>
    <r>
      <t xml:space="preserve">teriyaki rice, </t>
    </r>
    <r>
      <rPr>
        <sz val="10"/>
        <color rgb="FFFF0000"/>
        <rFont val="Arial"/>
        <family val="2"/>
      </rPr>
      <t xml:space="preserve">chocolate shake </t>
    </r>
  </si>
  <si>
    <t>Priyadarshana</t>
  </si>
  <si>
    <t>5533C</t>
  </si>
  <si>
    <t>Tharushi</t>
  </si>
  <si>
    <t>Chaya</t>
  </si>
  <si>
    <t>Roshan</t>
  </si>
  <si>
    <t>Dilip</t>
  </si>
  <si>
    <t>290F9</t>
  </si>
  <si>
    <t>Rs1,900.00</t>
  </si>
  <si>
    <t>teriyaki rice, thai rice</t>
  </si>
  <si>
    <t>Matthew</t>
  </si>
  <si>
    <t>DFF44</t>
  </si>
  <si>
    <t>Tharaka</t>
  </si>
  <si>
    <t>Anusha</t>
  </si>
  <si>
    <t>E7728</t>
  </si>
  <si>
    <t>thai 100</t>
  </si>
  <si>
    <t>Pasan</t>
  </si>
  <si>
    <t>Sebedh</t>
  </si>
  <si>
    <t>Mithun</t>
  </si>
  <si>
    <t>teriyaki rice, thai 100</t>
  </si>
  <si>
    <t>Amy</t>
  </si>
  <si>
    <t>8CCB7</t>
  </si>
  <si>
    <t>Rs2,850.00</t>
  </si>
  <si>
    <t>teriyaki rice x2, thai rice</t>
  </si>
  <si>
    <t>Sampath</t>
  </si>
  <si>
    <t>Hasitha</t>
  </si>
  <si>
    <t>Rs4,200.00</t>
  </si>
  <si>
    <t>teriyaki 650, thai 150</t>
  </si>
  <si>
    <t>75F7A</t>
  </si>
  <si>
    <t>Rangana</t>
  </si>
  <si>
    <t>9A184</t>
  </si>
  <si>
    <t>Rs2,500.00</t>
  </si>
  <si>
    <t>teiryaki rice x3, thai 100</t>
  </si>
  <si>
    <t>Kasun</t>
  </si>
  <si>
    <t>EFC74</t>
  </si>
  <si>
    <t>Sharon</t>
  </si>
  <si>
    <t>Dilshan</t>
  </si>
  <si>
    <t>Amenda</t>
  </si>
  <si>
    <t>7610E</t>
  </si>
  <si>
    <t>Rs1,100.00</t>
  </si>
  <si>
    <t>teriyaki 100, thai 100</t>
  </si>
  <si>
    <t>Tisha</t>
  </si>
  <si>
    <t>012CA</t>
  </si>
  <si>
    <t>Achinda</t>
  </si>
  <si>
    <t>Hirosh</t>
  </si>
  <si>
    <t>6FCDF</t>
  </si>
  <si>
    <t>Rs640.00</t>
  </si>
  <si>
    <t>7/9 - 11/9</t>
  </si>
  <si>
    <t>teriyaki 400</t>
  </si>
  <si>
    <t>Pryadharshana</t>
  </si>
  <si>
    <t>956ED</t>
  </si>
  <si>
    <t>Thiran</t>
  </si>
  <si>
    <t>1A988</t>
  </si>
  <si>
    <t>Nishadi</t>
  </si>
  <si>
    <t>9627B</t>
  </si>
  <si>
    <t>Sachindra</t>
  </si>
  <si>
    <t>BB3DF</t>
  </si>
  <si>
    <t>tharindu</t>
  </si>
  <si>
    <t>C7F08</t>
  </si>
  <si>
    <t>Rs1,600.00</t>
  </si>
  <si>
    <t>4F0A5</t>
  </si>
  <si>
    <t>D1775</t>
  </si>
  <si>
    <t>Mathushan</t>
  </si>
  <si>
    <t>Lasith</t>
  </si>
  <si>
    <t>87C6F</t>
  </si>
  <si>
    <t>teriyaki 100, teriyaki rice</t>
  </si>
  <si>
    <t>Migara</t>
  </si>
  <si>
    <t>D6455</t>
  </si>
  <si>
    <t>Shane</t>
  </si>
  <si>
    <t>0FC28</t>
  </si>
  <si>
    <t>Sanira</t>
  </si>
  <si>
    <t>1E9D9</t>
  </si>
  <si>
    <t>thai rice, teriyaki 100</t>
  </si>
  <si>
    <t>92D50</t>
  </si>
  <si>
    <t>Ravindu</t>
  </si>
  <si>
    <t>teiryaki x2</t>
  </si>
  <si>
    <t>Osuni</t>
  </si>
  <si>
    <t>teriyaki</t>
  </si>
  <si>
    <t>teriyaki 200 x 2</t>
  </si>
  <si>
    <t>Bhashith</t>
  </si>
  <si>
    <t>Sachith</t>
  </si>
  <si>
    <t>Kushmantha</t>
  </si>
  <si>
    <t>24B51</t>
  </si>
  <si>
    <t>Shan</t>
  </si>
  <si>
    <t>Rs4,250.00</t>
  </si>
  <si>
    <t>teriyaki rice x 4, teriyaki 100 x 3</t>
  </si>
  <si>
    <t>Chanuka</t>
  </si>
  <si>
    <t>Nipun</t>
  </si>
  <si>
    <t>Priyadharshana</t>
  </si>
  <si>
    <r>
      <t>332E3</t>
    </r>
    <r>
      <rPr>
        <sz val="10"/>
        <color rgb="FFD9EBD4"/>
        <rFont val="Arial"/>
        <family val="2"/>
      </rPr>
      <t>.</t>
    </r>
  </si>
  <si>
    <t>Sameera</t>
  </si>
  <si>
    <t>98B95</t>
  </si>
  <si>
    <t>Evanjana</t>
  </si>
  <si>
    <t>DA15C</t>
  </si>
  <si>
    <t>Shavindra</t>
  </si>
  <si>
    <t>Marshall</t>
  </si>
  <si>
    <t>Chanruka</t>
  </si>
  <si>
    <t>Manu</t>
  </si>
  <si>
    <t>Tairen</t>
  </si>
  <si>
    <t>1216E</t>
  </si>
  <si>
    <t>thai rice x2</t>
  </si>
  <si>
    <t>Saumya</t>
  </si>
  <si>
    <t>9CD5D</t>
  </si>
  <si>
    <t>1A9CE</t>
  </si>
  <si>
    <t>DCFDD</t>
  </si>
  <si>
    <t>thai 100, teriyaki 100</t>
  </si>
  <si>
    <t>E537A</t>
  </si>
  <si>
    <t>Samuel</t>
  </si>
  <si>
    <t>EA12F</t>
  </si>
  <si>
    <t>1CDA6</t>
  </si>
  <si>
    <t>Warnakulasooriya</t>
  </si>
  <si>
    <t>8B7E9</t>
  </si>
  <si>
    <t>Rs5,200.00</t>
  </si>
  <si>
    <t>5A299</t>
  </si>
  <si>
    <t>Chathuri</t>
  </si>
  <si>
    <t>0726E</t>
  </si>
  <si>
    <t>Leeza</t>
  </si>
  <si>
    <t>8CC11A</t>
  </si>
  <si>
    <t>teriyaki rice x2</t>
  </si>
  <si>
    <t>Damith</t>
  </si>
  <si>
    <t>A9813</t>
  </si>
  <si>
    <t>BB34A</t>
  </si>
  <si>
    <t>C4B8E</t>
  </si>
  <si>
    <t>SDG</t>
  </si>
  <si>
    <t>07BBA</t>
  </si>
  <si>
    <t>teriyaki rice x 3</t>
  </si>
  <si>
    <t>Minoshun</t>
  </si>
  <si>
    <t>DBE6B</t>
  </si>
  <si>
    <t>teriyaki x 2</t>
  </si>
  <si>
    <t>Ayuryoga</t>
  </si>
  <si>
    <t>EA11B</t>
  </si>
  <si>
    <t>14/09 - 18/09</t>
  </si>
  <si>
    <t>E9321</t>
  </si>
  <si>
    <t>Rs3,200.00</t>
  </si>
  <si>
    <t>teriyaki 450, thai 150</t>
  </si>
  <si>
    <t>3BBD0</t>
  </si>
  <si>
    <t>Prashan</t>
  </si>
  <si>
    <t>C2015</t>
  </si>
  <si>
    <t>Sachin</t>
  </si>
  <si>
    <t>Rs3,500.00</t>
  </si>
  <si>
    <t>thai rice x 2, teriyaki 100 x 2</t>
  </si>
  <si>
    <t>Neminda</t>
  </si>
  <si>
    <t>pic-up</t>
  </si>
  <si>
    <t>Raj</t>
  </si>
  <si>
    <t>2BC80</t>
  </si>
  <si>
    <t>Uditha</t>
  </si>
  <si>
    <t>Tharushka</t>
  </si>
  <si>
    <t>9E80A</t>
  </si>
  <si>
    <t>Rs2,550.00</t>
  </si>
  <si>
    <t>teriyaki 100, thai 100, teriyaki rice</t>
  </si>
  <si>
    <t>Charuka</t>
  </si>
  <si>
    <t>Rs3,000.00</t>
  </si>
  <si>
    <t>teriyaki rice x 2, teriyaki 100</t>
  </si>
  <si>
    <t>0D6DE</t>
  </si>
  <si>
    <t>Rs2,700.00</t>
  </si>
  <si>
    <t>teriyaki rice x2, teriyaki 100</t>
  </si>
  <si>
    <t>Hiruni</t>
  </si>
  <si>
    <t>0AC0E</t>
  </si>
  <si>
    <t>DD91E</t>
  </si>
  <si>
    <t>083F5</t>
  </si>
  <si>
    <t>1B9F8</t>
  </si>
  <si>
    <t>Rs850.00</t>
  </si>
  <si>
    <t>Dilini</t>
  </si>
  <si>
    <t>9BBD0</t>
  </si>
  <si>
    <t>teriyaki 250, teriyaki 200, thai 150</t>
  </si>
  <si>
    <t>F494D</t>
  </si>
  <si>
    <t>Rs2,600.00</t>
  </si>
  <si>
    <t>teriyaki 100 x2, teriyaki rice, thai rice</t>
  </si>
  <si>
    <t>Nirekshana</t>
  </si>
  <si>
    <t>CF0B9</t>
  </si>
  <si>
    <t>Bryan</t>
  </si>
  <si>
    <t>ED8C3</t>
  </si>
  <si>
    <t>1EE97</t>
  </si>
  <si>
    <t>teriyaki 100, teryiaki rice</t>
  </si>
  <si>
    <t>teiryaki rice</t>
  </si>
  <si>
    <t>Thilina</t>
  </si>
  <si>
    <t>382C4</t>
  </si>
  <si>
    <t>walk-in</t>
  </si>
  <si>
    <t>Rs1,160.00</t>
  </si>
  <si>
    <t>protein shake x2</t>
  </si>
  <si>
    <t>Rs900.00</t>
  </si>
  <si>
    <t>protein shake x 3</t>
  </si>
  <si>
    <t>protein shake x3</t>
  </si>
  <si>
    <t>Rs300.00</t>
  </si>
  <si>
    <t>protein shake x 2</t>
  </si>
  <si>
    <t>teiryaki 250, thai 150</t>
  </si>
  <si>
    <t>Sheran</t>
  </si>
  <si>
    <t>1C5B7</t>
  </si>
  <si>
    <t>5FBEF</t>
  </si>
  <si>
    <t>Rs2,330.00</t>
  </si>
  <si>
    <r>
      <t xml:space="preserve">teriyaki 100, thai rice, </t>
    </r>
    <r>
      <rPr>
        <sz val="10"/>
        <color rgb="FFFF0000"/>
        <rFont val="Arial"/>
        <family val="2"/>
      </rPr>
      <t xml:space="preserve">chocolate shake </t>
    </r>
  </si>
  <si>
    <t>Amila</t>
  </si>
  <si>
    <t>ACB4F</t>
  </si>
  <si>
    <t>Rs1,530.00</t>
  </si>
  <si>
    <r>
      <t xml:space="preserve">teriyaki rice, </t>
    </r>
    <r>
      <rPr>
        <sz val="10"/>
        <color rgb="FFFF0000"/>
        <rFont val="Arial"/>
        <family val="2"/>
      </rPr>
      <t>vanilla shake</t>
    </r>
  </si>
  <si>
    <t>F05B6</t>
  </si>
  <si>
    <t>Sahan</t>
  </si>
  <si>
    <t>E57F2</t>
  </si>
  <si>
    <t>Vidusha</t>
  </si>
  <si>
    <t>Rs580.00</t>
  </si>
  <si>
    <t>chocolate shake</t>
  </si>
  <si>
    <t>teriyaki 500, thai 150</t>
  </si>
  <si>
    <t>Chaunka</t>
  </si>
  <si>
    <t>05BE2</t>
  </si>
  <si>
    <t>Carllin</t>
  </si>
  <si>
    <t>9C49C</t>
  </si>
  <si>
    <t>Isabelle</t>
  </si>
  <si>
    <t>4B393</t>
  </si>
  <si>
    <t>9DD20</t>
  </si>
  <si>
    <t>550D3</t>
  </si>
  <si>
    <t>Rs1,130.00</t>
  </si>
  <si>
    <r>
      <t xml:space="preserve">teriyaki 100, </t>
    </r>
    <r>
      <rPr>
        <sz val="10"/>
        <color rgb="FFFF0000"/>
        <rFont val="Arial"/>
        <family val="2"/>
      </rPr>
      <t xml:space="preserve">chcolate shake </t>
    </r>
  </si>
  <si>
    <t>Enrique</t>
  </si>
  <si>
    <t>Rs2,400.00</t>
  </si>
  <si>
    <t>teriyaki 100 x 3</t>
  </si>
  <si>
    <t>21/09 - 25/09</t>
  </si>
  <si>
    <t>Lsith</t>
  </si>
  <si>
    <t>F8CCB</t>
  </si>
  <si>
    <t>teiryaki rice, teriyaki 100</t>
  </si>
  <si>
    <t>4C7D8</t>
  </si>
  <si>
    <t>6883F</t>
  </si>
  <si>
    <t>teriyaki 100 x 2</t>
  </si>
  <si>
    <t>7C207</t>
  </si>
  <si>
    <t>Afker</t>
  </si>
  <si>
    <t>08ED9</t>
  </si>
  <si>
    <t>Ruben</t>
  </si>
  <si>
    <t>512A3</t>
  </si>
  <si>
    <t>8B4F9</t>
  </si>
  <si>
    <t>BB4F0</t>
  </si>
  <si>
    <t>Rs1,430.00</t>
  </si>
  <si>
    <r>
      <t xml:space="preserve">thai rice, </t>
    </r>
    <r>
      <rPr>
        <sz val="10"/>
        <color rgb="FFFF0000"/>
        <rFont val="Arial"/>
        <family val="2"/>
      </rPr>
      <t xml:space="preserve">vanilla shake </t>
    </r>
  </si>
  <si>
    <t>BAD45</t>
  </si>
  <si>
    <t>Pathum</t>
  </si>
  <si>
    <t>F4E32</t>
  </si>
  <si>
    <t>A5053</t>
  </si>
  <si>
    <t>Rs480.00</t>
  </si>
  <si>
    <t>Kishmantha</t>
  </si>
  <si>
    <t>5D259</t>
  </si>
  <si>
    <t>Dilanka</t>
  </si>
  <si>
    <t>23C6B</t>
  </si>
  <si>
    <t>Anthrolle</t>
  </si>
  <si>
    <t>15D73</t>
  </si>
  <si>
    <r>
      <t>thai rice,</t>
    </r>
    <r>
      <rPr>
        <sz val="10"/>
        <color rgb="FFFF0000"/>
        <rFont val="Arial"/>
        <family val="2"/>
      </rPr>
      <t xml:space="preserve"> chocolate shake </t>
    </r>
  </si>
  <si>
    <t>Hirandi</t>
  </si>
  <si>
    <t>49C0A</t>
  </si>
  <si>
    <t>E5378</t>
  </si>
  <si>
    <t>Madushan</t>
  </si>
  <si>
    <r>
      <t xml:space="preserve">teriyaki rice, </t>
    </r>
    <r>
      <rPr>
        <sz val="10"/>
        <color rgb="FFFF0000"/>
        <rFont val="Arial"/>
        <family val="2"/>
      </rPr>
      <t xml:space="preserve">vanilla shake </t>
    </r>
  </si>
  <si>
    <t>Nimna</t>
  </si>
  <si>
    <t>Rs2,230.00</t>
  </si>
  <si>
    <r>
      <t xml:space="preserve">teriyaki 100, teriyaki rice, </t>
    </r>
    <r>
      <rPr>
        <sz val="10"/>
        <color rgb="FFFF0000"/>
        <rFont val="Arial"/>
        <family val="2"/>
      </rPr>
      <t xml:space="preserve">chocolate shake </t>
    </r>
  </si>
  <si>
    <t>003F8</t>
  </si>
  <si>
    <t>21BCE</t>
  </si>
  <si>
    <t>A8A32</t>
  </si>
  <si>
    <t>teriyaki 100 x2</t>
  </si>
  <si>
    <t>Samantha</t>
  </si>
  <si>
    <t>5DCC3</t>
  </si>
  <si>
    <t>Niroshi</t>
  </si>
  <si>
    <t>465A7</t>
  </si>
  <si>
    <t>Malmi</t>
  </si>
  <si>
    <t>EDEAA</t>
  </si>
  <si>
    <t>Rs1,920.00</t>
  </si>
  <si>
    <t>chocolate shake x3, vanilla shake 1, chocolate shake complimentary 1</t>
  </si>
  <si>
    <t>BA420</t>
  </si>
  <si>
    <t>Yasith</t>
  </si>
  <si>
    <r>
      <t xml:space="preserve">teiryaki rice, </t>
    </r>
    <r>
      <rPr>
        <sz val="10"/>
        <color rgb="FFFF0000"/>
        <rFont val="Arial"/>
        <family val="2"/>
      </rPr>
      <t xml:space="preserve">chocolate shake </t>
    </r>
  </si>
  <si>
    <t>51F67</t>
  </si>
  <si>
    <t>102B6</t>
  </si>
  <si>
    <r>
      <t xml:space="preserve">teriyaki rice, </t>
    </r>
    <r>
      <rPr>
        <sz val="10"/>
        <color rgb="FFFF0000"/>
        <rFont val="Arial"/>
        <family val="2"/>
      </rPr>
      <t xml:space="preserve">chocolate shake complimentary </t>
    </r>
  </si>
  <si>
    <t>48F25</t>
  </si>
  <si>
    <t>AB442</t>
  </si>
  <si>
    <t>Kanishka</t>
  </si>
  <si>
    <t>Camille</t>
  </si>
  <si>
    <t>Milan</t>
  </si>
  <si>
    <t>Rs3,700.00</t>
  </si>
  <si>
    <t>teriyaki rice x4, thai 100, teriyaki 100</t>
  </si>
  <si>
    <t>A97CE</t>
  </si>
  <si>
    <t>838A1</t>
  </si>
  <si>
    <t>Malintha</t>
  </si>
  <si>
    <t>B8549</t>
  </si>
  <si>
    <t>5783E</t>
  </si>
  <si>
    <t>Rs1,760.00</t>
  </si>
  <si>
    <r>
      <t xml:space="preserve">teriyaki 100, </t>
    </r>
    <r>
      <rPr>
        <sz val="10"/>
        <color rgb="FFFF0000"/>
        <rFont val="Arial"/>
        <family val="2"/>
      </rPr>
      <t xml:space="preserve">chocolate shake, vanilla shake </t>
    </r>
  </si>
  <si>
    <t>Ishan</t>
  </si>
  <si>
    <t>B834A</t>
  </si>
  <si>
    <t>4B9E2</t>
  </si>
  <si>
    <t>905AA</t>
  </si>
  <si>
    <t>Sakuna</t>
  </si>
  <si>
    <t>DC96B</t>
  </si>
  <si>
    <t>Sewmini</t>
  </si>
  <si>
    <t>8ABBA</t>
  </si>
  <si>
    <r>
      <t xml:space="preserve">teriyaki 500, thai 300, </t>
    </r>
    <r>
      <rPr>
        <sz val="10"/>
        <color rgb="FFFF0000"/>
        <rFont val="Arial"/>
        <family val="2"/>
      </rPr>
      <t xml:space="preserve">chocolate shake complimentary </t>
    </r>
  </si>
  <si>
    <t>67C89</t>
  </si>
  <si>
    <t>Arosha</t>
  </si>
  <si>
    <t>Manuja</t>
  </si>
  <si>
    <t>tteriyaki rice x2</t>
  </si>
  <si>
    <t>Rs1,610.00</t>
  </si>
  <si>
    <r>
      <t xml:space="preserve">teriyaki rice, </t>
    </r>
    <r>
      <rPr>
        <sz val="10"/>
        <color rgb="FFFF0000"/>
        <rFont val="Arial"/>
        <family val="2"/>
      </rPr>
      <t xml:space="preserve">vanilla shake x2 </t>
    </r>
  </si>
  <si>
    <t>FB225</t>
  </si>
  <si>
    <t>A2C58</t>
  </si>
  <si>
    <t>E9AF1</t>
  </si>
  <si>
    <t>Zulfi</t>
  </si>
  <si>
    <r>
      <t xml:space="preserve">thai rice, </t>
    </r>
    <r>
      <rPr>
        <sz val="10"/>
        <color rgb="FFFF0000"/>
        <rFont val="Arial"/>
        <family val="2"/>
      </rPr>
      <t xml:space="preserve">chocolate shake </t>
    </r>
  </si>
  <si>
    <t>Nilukshan</t>
  </si>
  <si>
    <t>vanilla shake</t>
  </si>
  <si>
    <t>Minula</t>
  </si>
  <si>
    <t>A1039</t>
  </si>
  <si>
    <t>Umesh</t>
  </si>
  <si>
    <t>teiryaki rice x2</t>
  </si>
  <si>
    <t>Jineth</t>
  </si>
  <si>
    <t>B19A5</t>
  </si>
  <si>
    <t>F15B9</t>
  </si>
  <si>
    <t>28/09 - 30/09</t>
  </si>
  <si>
    <t>BAC09</t>
  </si>
  <si>
    <t>F0DA7</t>
  </si>
  <si>
    <t>Adnan</t>
  </si>
  <si>
    <t>8A6C7</t>
  </si>
  <si>
    <t>Shehan</t>
  </si>
  <si>
    <t>F0893</t>
  </si>
  <si>
    <t>teiryaki 100</t>
  </si>
  <si>
    <t>231A0</t>
  </si>
  <si>
    <t>FED0D</t>
  </si>
  <si>
    <t>E08C6</t>
  </si>
  <si>
    <t>Janith</t>
  </si>
  <si>
    <t>25BDF</t>
  </si>
  <si>
    <t>Rs3,800.00</t>
  </si>
  <si>
    <t>thai rice x2, teryaki rice x2</t>
  </si>
  <si>
    <t>Malisha</t>
  </si>
  <si>
    <t>306FF</t>
  </si>
  <si>
    <t>Udana</t>
  </si>
  <si>
    <t>Imesh</t>
  </si>
  <si>
    <t>Rs960.00</t>
  </si>
  <si>
    <t>vanilla shake x2</t>
  </si>
  <si>
    <t>Wikanda</t>
  </si>
  <si>
    <t>FE606</t>
  </si>
  <si>
    <t>Rs2,860.00</t>
  </si>
  <si>
    <r>
      <t xml:space="preserve">teriyaki rice, thai rice, </t>
    </r>
    <r>
      <rPr>
        <sz val="10"/>
        <color rgb="FFFF0000"/>
        <rFont val="Arial"/>
        <family val="2"/>
      </rPr>
      <t xml:space="preserve">vanilla shake, chocolate shake </t>
    </r>
  </si>
  <si>
    <t>Jayani</t>
  </si>
  <si>
    <t>Madhawa</t>
  </si>
  <si>
    <t>9C27F</t>
  </si>
  <si>
    <t>Nikila</t>
  </si>
  <si>
    <t>C3770</t>
  </si>
  <si>
    <t>teriyaki rice, thai rice x2</t>
  </si>
  <si>
    <t>Nimesha</t>
  </si>
  <si>
    <t>118EF</t>
  </si>
  <si>
    <r>
      <t xml:space="preserve">teriaki rice, </t>
    </r>
    <r>
      <rPr>
        <sz val="10"/>
        <color rgb="FFFF0000"/>
        <rFont val="Arial"/>
        <family val="2"/>
      </rPr>
      <t xml:space="preserve">chocolate shake </t>
    </r>
  </si>
  <si>
    <t>vanilla shake x 2</t>
  </si>
  <si>
    <t>Gimhana</t>
  </si>
  <si>
    <t>Kumar</t>
  </si>
  <si>
    <t>D7390</t>
  </si>
  <si>
    <t>Source Row</t>
  </si>
  <si>
    <t>Date</t>
  </si>
  <si>
    <t>Channel</t>
  </si>
  <si>
    <t>Quantity</t>
  </si>
  <si>
    <t>Sales (LKR)</t>
  </si>
  <si>
    <t>Items</t>
  </si>
  <si>
    <t>Order Reference</t>
  </si>
  <si>
    <t>Pickup</t>
  </si>
  <si>
    <t xml:space="preserve">thai rice x 2, vanilla shake </t>
  </si>
  <si>
    <t xml:space="preserve">teriyaki rice, chocolate shake </t>
  </si>
  <si>
    <t>332E3.</t>
  </si>
  <si>
    <t xml:space="preserve">teriyaki 100, thai rice, chocolate shake </t>
  </si>
  <si>
    <t>teriyaki rice, vanilla shake</t>
  </si>
  <si>
    <t xml:space="preserve">teriyaki 100, chcolate shake </t>
  </si>
  <si>
    <t xml:space="preserve">thai rice, vanilla shake </t>
  </si>
  <si>
    <t xml:space="preserve">thai rice, chocolate shake </t>
  </si>
  <si>
    <t xml:space="preserve">teriyaki rice, vanilla shake </t>
  </si>
  <si>
    <t xml:space="preserve">teriyaki 100, teriyaki rice, chocolate shake </t>
  </si>
  <si>
    <t xml:space="preserve">teiryaki rice, chocolate shake </t>
  </si>
  <si>
    <t xml:space="preserve">teriyaki rice, chocolate shake complimentary </t>
  </si>
  <si>
    <t xml:space="preserve">teriyaki 100, chocolate shake, vanilla shake </t>
  </si>
  <si>
    <t xml:space="preserve">teriyaki 500, thai 300, chocolate shake complimentary </t>
  </si>
  <si>
    <t xml:space="preserve">teriyaki rice, vanilla shake x2 </t>
  </si>
  <si>
    <t xml:space="preserve">teriyaki rice, thai rice, vanilla shake, chocolate shake </t>
  </si>
  <si>
    <t xml:space="preserve">teriaki rice, chocolate shake </t>
  </si>
  <si>
    <t>SEPTEMBER SALES REPORT</t>
  </si>
  <si>
    <t>Pickup, Uber &amp; PickMe | 1–29 September 2026 | 336 recorded orders</t>
  </si>
  <si>
    <t>TOTAL SALES</t>
  </si>
  <si>
    <t>ORDERS</t>
  </si>
  <si>
    <t>QUANTITY</t>
  </si>
  <si>
    <t>AVG ORDER</t>
  </si>
  <si>
    <t>Orders</t>
  </si>
  <si>
    <t>Avg Order</t>
  </si>
  <si>
    <t>Sales Share</t>
  </si>
  <si>
    <t>Total</t>
  </si>
  <si>
    <t>Period</t>
  </si>
  <si>
    <t>Total Sales</t>
  </si>
  <si>
    <t>1–6 Sep</t>
  </si>
  <si>
    <t>7–13 Sep</t>
  </si>
  <si>
    <t>14–20 Sep</t>
  </si>
  <si>
    <t>21–27 Sep</t>
  </si>
  <si>
    <t>28–30 Sep</t>
  </si>
  <si>
    <t>SEPTEMBER PRODUCT QUANTITY MIX</t>
  </si>
  <si>
    <t>Category</t>
  </si>
  <si>
    <t>Teriyaki Rice</t>
  </si>
  <si>
    <t>Thai Rice</t>
  </si>
  <si>
    <t>Milkshake</t>
  </si>
  <si>
    <t>Other</t>
  </si>
  <si>
    <t>Method: items separated by commas; x2/x3 multipliers applied; items without a multiplier counted as 1. Teriyaki Rice contains descriptions with both ‘teriyaki’ and ‘rice’; Teriyaki contains non-rice teriyaki portions. Chicken includes only descriptions explicitly containing ‘chicken’.</t>
  </si>
  <si>
    <t>Teriyaki (chicken)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</si>
</sst>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69" formatCode="#,##0.0"/>
    <numFmt numFmtId="170" formatCode="0.0%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D9EBD4"/>
      <name val="Arial"/>
      <family val="2"/>
    </font>
    <font>
      <sz val="10"/>
      <color theme="1"/>
      <name val="Noto Sans"/>
    </font>
    <font>
      <b/>
      <sz val="10"/>
      <color rgb="FFFAFAFA"/>
      <name val="Arial"/>
      <family val="2"/>
    </font>
    <font>
      <sz val="11"/>
      <color rgb="FF203040"/>
      <name val="Aptos"/>
      <family val="2"/>
    </font>
    <font>
      <b/>
      <sz val="11"/>
      <color rgb="FFFFFFFF"/>
      <name val="Aptos"/>
      <family val="2"/>
    </font>
    <font>
      <b/>
      <sz val="20"/>
      <color rgb="FFFFFFFF"/>
      <name val="Aptos"/>
      <family val="2"/>
    </font>
    <font>
      <sz val="11"/>
      <color rgb="FF44546A"/>
      <name val="Aptos"/>
      <family val="2"/>
    </font>
    <font>
      <b/>
      <sz val="11"/>
      <color rgb="FF203040"/>
      <name val="Aptos"/>
      <family val="2"/>
    </font>
    <font>
      <b/>
      <sz val="10"/>
      <color rgb="FF5B6573"/>
      <name val="Aptos"/>
      <family val="2"/>
    </font>
    <font>
      <b/>
      <sz val="18"/>
      <color rgb="FF17365D"/>
      <name val="Aptos"/>
      <family val="2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5B657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wrapText="1"/>
    </xf>
    <xf numFmtId="16" fontId="0" fillId="0" borderId="0" xfId="0" applyNumberFormat="1"/>
    <xf numFmtId="16" fontId="2" fillId="0" borderId="1" xfId="0" applyNumberFormat="1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16" fontId="2" fillId="0" borderId="5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16" fontId="5" fillId="0" borderId="1" xfId="0" applyNumberFormat="1" applyFont="1" applyBorder="1" applyAlignment="1">
      <alignment wrapText="1"/>
    </xf>
    <xf numFmtId="0" fontId="5" fillId="0" borderId="5" xfId="0" applyFont="1" applyBorder="1" applyAlignment="1">
      <alignment wrapText="1"/>
    </xf>
    <xf numFmtId="16" fontId="5" fillId="0" borderId="5" xfId="0" applyNumberFormat="1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168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9" fillId="0" borderId="0" xfId="0" applyFont="1"/>
    <xf numFmtId="16" fontId="9" fillId="0" borderId="0" xfId="0" applyNumberFormat="1" applyFont="1"/>
    <xf numFmtId="0" fontId="11" fillId="5" borderId="0" xfId="0" applyFont="1" applyFill="1"/>
    <xf numFmtId="0" fontId="12" fillId="6" borderId="0" xfId="0" applyFont="1" applyFill="1"/>
    <xf numFmtId="0" fontId="9" fillId="7" borderId="0" xfId="0" applyFont="1" applyFill="1" applyBorder="1"/>
    <xf numFmtId="0" fontId="9" fillId="7" borderId="7" xfId="0" applyFont="1" applyFill="1" applyBorder="1"/>
    <xf numFmtId="0" fontId="14" fillId="7" borderId="0" xfId="0" applyFont="1" applyFill="1" applyBorder="1" applyAlignment="1">
      <alignment horizontal="center"/>
    </xf>
    <xf numFmtId="4" fontId="15" fillId="7" borderId="7" xfId="0" applyNumberFormat="1" applyFont="1" applyFill="1" applyBorder="1" applyAlignment="1">
      <alignment horizontal="center"/>
    </xf>
    <xf numFmtId="3" fontId="15" fillId="7" borderId="7" xfId="0" applyNumberFormat="1" applyFont="1" applyFill="1" applyBorder="1" applyAlignment="1">
      <alignment horizontal="center"/>
    </xf>
    <xf numFmtId="169" fontId="15" fillId="7" borderId="7" xfId="0" applyNumberFormat="1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3" fillId="9" borderId="0" xfId="0" applyFont="1" applyFill="1"/>
    <xf numFmtId="0" fontId="9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0" fontId="13" fillId="9" borderId="0" xfId="0" applyFont="1" applyFill="1" applyAlignment="1">
      <alignment horizontal="right"/>
    </xf>
    <xf numFmtId="4" fontId="13" fillId="9" borderId="0" xfId="0" applyNumberFormat="1" applyFont="1" applyFill="1" applyAlignment="1">
      <alignment horizontal="right"/>
    </xf>
    <xf numFmtId="169" fontId="13" fillId="9" borderId="0" xfId="0" applyNumberFormat="1" applyFont="1" applyFill="1" applyAlignment="1">
      <alignment horizontal="right"/>
    </xf>
    <xf numFmtId="170" fontId="13" fillId="9" borderId="0" xfId="0" applyNumberFormat="1" applyFont="1" applyFill="1" applyAlignment="1">
      <alignment horizontal="right"/>
    </xf>
    <xf numFmtId="0" fontId="10" fillId="8" borderId="0" xfId="0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3" fontId="13" fillId="9" borderId="0" xfId="0" applyNumberFormat="1" applyFont="1" applyFill="1" applyAlignment="1">
      <alignment horizontal="right"/>
    </xf>
    <xf numFmtId="0" fontId="17" fillId="5" borderId="0" xfId="0" applyFont="1" applyFill="1"/>
    <xf numFmtId="0" fontId="16" fillId="8" borderId="0" xfId="0" applyFont="1" applyFill="1"/>
    <xf numFmtId="0" fontId="1" fillId="9" borderId="0" xfId="0" applyFont="1" applyFill="1"/>
    <xf numFmtId="3" fontId="0" fillId="0" borderId="0" xfId="0" applyNumberFormat="1" applyAlignment="1">
      <alignment horizontal="right"/>
    </xf>
    <xf numFmtId="3" fontId="1" fillId="9" borderId="0" xfId="0" applyNumberFormat="1" applyFont="1" applyFill="1" applyAlignment="1">
      <alignment horizontal="right"/>
    </xf>
    <xf numFmtId="0" fontId="18" fillId="0" borderId="0" xfId="0" applyFont="1" applyAlignment="1">
      <alignment wrapText="1"/>
    </xf>
  </cellXfs>
  <cellStyles count="1">
    <cellStyle name="Normal" xfId="0" builtinId="0"/>
  </cellStyles>
  <dxfs count="4">
    <dxf>
      <alignment wrapText="1"/>
    </dxf>
    <dxf>
      <numFmt numFmtId="4" formatCode="#,##0.00"/>
    </dxf>
    <dxf>
      <numFmt numFmtId="168" formatCode="0.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'September Report'!$C$6</c:f>
              <c:strCache>
                <c:ptCount val="1"/>
                <c:pt idx="0">
                  <c:v>Sales (LKR)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Report'!$A$7:$A$9</c:f>
              <c:strCache>
                <c:ptCount val="3"/>
                <c:pt idx="0">
                  <c:v>Pickup</c:v>
                </c:pt>
                <c:pt idx="1">
                  <c:v>Uber</c:v>
                </c:pt>
                <c:pt idx="2">
                  <c:v>PickMe</c:v>
                </c:pt>
              </c:strCache>
            </c:strRef>
          </c:cat>
          <c:val>
            <c:numRef>
              <c:f>'September Report'!$C$7:$C$9</c:f>
              <c:numCache>
                <c:formatCode>#,##0.00</c:formatCode>
                <c:ptCount val="3"/>
                <c:pt idx="0">
                  <c:v>192120</c:v>
                </c:pt>
                <c:pt idx="1">
                  <c:v>198800</c:v>
                </c:pt>
                <c:pt idx="2">
                  <c:v>30390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8-4D67-AA53-75405E337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969840"/>
        <c:axId val="1621939696"/>
      </c:barChart>
      <c:catAx>
        <c:axId val="16969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39696"/>
        <c:crosses val="autoZero"/>
        <c:auto val="1"/>
        <c:lblAlgn val="ctr"/>
        <c:lblOffset val="100"/>
        <c:noMultiLvlLbl val="0"/>
      </c:catAx>
      <c:valAx>
        <c:axId val="16219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(LKR)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Mix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'September Report'!$B$22</c:f>
              <c:strCache>
                <c:ptCount val="1"/>
                <c:pt idx="0">
                  <c:v>Pickup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'September Report'!$A$23:$A$43</c:f>
              <c:numCache>
                <c:formatCode>d\-mmm</c:formatCode>
                <c:ptCount val="2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46276</c:v>
                </c:pt>
                <c:pt idx="8">
                  <c:v>46279</c:v>
                </c:pt>
                <c:pt idx="9">
                  <c:v>46280</c:v>
                </c:pt>
                <c:pt idx="10">
                  <c:v>46281</c:v>
                </c:pt>
                <c:pt idx="11">
                  <c:v>46282</c:v>
                </c:pt>
                <c:pt idx="12">
                  <c:v>46283</c:v>
                </c:pt>
                <c:pt idx="13">
                  <c:v>46285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  <c:pt idx="19">
                  <c:v>46293</c:v>
                </c:pt>
                <c:pt idx="20">
                  <c:v>46294</c:v>
                </c:pt>
              </c:numCache>
            </c:numRef>
          </c:cat>
          <c:val>
            <c:numRef>
              <c:f>'September Report'!$B$23:$B$43</c:f>
              <c:numCache>
                <c:formatCode>#,##0.00</c:formatCode>
                <c:ptCount val="21"/>
                <c:pt idx="0">
                  <c:v>9000</c:v>
                </c:pt>
                <c:pt idx="1">
                  <c:v>11250</c:v>
                </c:pt>
                <c:pt idx="2">
                  <c:v>8400</c:v>
                </c:pt>
                <c:pt idx="3">
                  <c:v>10950</c:v>
                </c:pt>
                <c:pt idx="4">
                  <c:v>5800</c:v>
                </c:pt>
                <c:pt idx="5">
                  <c:v>9600</c:v>
                </c:pt>
                <c:pt idx="6">
                  <c:v>6550</c:v>
                </c:pt>
                <c:pt idx="7">
                  <c:v>5850</c:v>
                </c:pt>
                <c:pt idx="8">
                  <c:v>8950</c:v>
                </c:pt>
                <c:pt idx="9">
                  <c:v>8250</c:v>
                </c:pt>
                <c:pt idx="10">
                  <c:v>12760</c:v>
                </c:pt>
                <c:pt idx="11">
                  <c:v>7880</c:v>
                </c:pt>
                <c:pt idx="12">
                  <c:v>10880</c:v>
                </c:pt>
                <c:pt idx="13">
                  <c:v>2500</c:v>
                </c:pt>
                <c:pt idx="14">
                  <c:v>10780</c:v>
                </c:pt>
                <c:pt idx="15">
                  <c:v>6310</c:v>
                </c:pt>
                <c:pt idx="16">
                  <c:v>11870</c:v>
                </c:pt>
                <c:pt idx="17">
                  <c:v>12860</c:v>
                </c:pt>
                <c:pt idx="18">
                  <c:v>13920</c:v>
                </c:pt>
                <c:pt idx="19">
                  <c:v>7820</c:v>
                </c:pt>
                <c:pt idx="20">
                  <c:v>9940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4-42BE-ADCE-949AF47C4E14}"/>
            </c:ext>
          </c:extLst>
        </c:ser>
        <c:ser>
          <c:idx val="1"/>
          <c:order val="1"/>
          <c:tx>
            <c:strRef>
              <c:f>'September Report'!$C$22</c:f>
              <c:strCache>
                <c:ptCount val="1"/>
                <c:pt idx="0">
                  <c:v>Uber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'September Report'!$A$23:$A$43</c:f>
              <c:numCache>
                <c:formatCode>d\-mmm</c:formatCode>
                <c:ptCount val="2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46276</c:v>
                </c:pt>
                <c:pt idx="8">
                  <c:v>46279</c:v>
                </c:pt>
                <c:pt idx="9">
                  <c:v>46280</c:v>
                </c:pt>
                <c:pt idx="10">
                  <c:v>46281</c:v>
                </c:pt>
                <c:pt idx="11">
                  <c:v>46282</c:v>
                </c:pt>
                <c:pt idx="12">
                  <c:v>46283</c:v>
                </c:pt>
                <c:pt idx="13">
                  <c:v>46285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  <c:pt idx="19">
                  <c:v>46293</c:v>
                </c:pt>
                <c:pt idx="20">
                  <c:v>46294</c:v>
                </c:pt>
              </c:numCache>
            </c:numRef>
          </c:cat>
          <c:val>
            <c:numRef>
              <c:f>'September Report'!$C$23:$C$43</c:f>
              <c:numCache>
                <c:formatCode>#,##0.00</c:formatCode>
                <c:ptCount val="21"/>
                <c:pt idx="0">
                  <c:v>4750</c:v>
                </c:pt>
                <c:pt idx="1">
                  <c:v>4600</c:v>
                </c:pt>
                <c:pt idx="2">
                  <c:v>7300</c:v>
                </c:pt>
                <c:pt idx="3">
                  <c:v>9190</c:v>
                </c:pt>
                <c:pt idx="4">
                  <c:v>14450</c:v>
                </c:pt>
                <c:pt idx="5">
                  <c:v>4600</c:v>
                </c:pt>
                <c:pt idx="6">
                  <c:v>8100</c:v>
                </c:pt>
                <c:pt idx="7">
                  <c:v>13950</c:v>
                </c:pt>
                <c:pt idx="8">
                  <c:v>5400</c:v>
                </c:pt>
                <c:pt idx="9">
                  <c:v>11750</c:v>
                </c:pt>
                <c:pt idx="10">
                  <c:v>9350</c:v>
                </c:pt>
                <c:pt idx="11">
                  <c:v>8610</c:v>
                </c:pt>
                <c:pt idx="12">
                  <c:v>11100</c:v>
                </c:pt>
                <c:pt idx="13">
                  <c:v>2550</c:v>
                </c:pt>
                <c:pt idx="14">
                  <c:v>13180</c:v>
                </c:pt>
                <c:pt idx="15">
                  <c:v>15590</c:v>
                </c:pt>
                <c:pt idx="16">
                  <c:v>9530</c:v>
                </c:pt>
                <c:pt idx="17">
                  <c:v>12410</c:v>
                </c:pt>
                <c:pt idx="18">
                  <c:v>8900</c:v>
                </c:pt>
                <c:pt idx="19">
                  <c:v>13500</c:v>
                </c:pt>
                <c:pt idx="20">
                  <c:v>9990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4-42BE-ADCE-949AF47C4E14}"/>
            </c:ext>
          </c:extLst>
        </c:ser>
        <c:ser>
          <c:idx val="2"/>
          <c:order val="2"/>
          <c:tx>
            <c:strRef>
              <c:f>'September Report'!$D$22</c:f>
              <c:strCache>
                <c:ptCount val="1"/>
                <c:pt idx="0">
                  <c:v>PickMe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'September Report'!$A$23:$A$43</c:f>
              <c:numCache>
                <c:formatCode>d\-mmm</c:formatCode>
                <c:ptCount val="2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46276</c:v>
                </c:pt>
                <c:pt idx="8">
                  <c:v>46279</c:v>
                </c:pt>
                <c:pt idx="9">
                  <c:v>46280</c:v>
                </c:pt>
                <c:pt idx="10">
                  <c:v>46281</c:v>
                </c:pt>
                <c:pt idx="11">
                  <c:v>46282</c:v>
                </c:pt>
                <c:pt idx="12">
                  <c:v>46283</c:v>
                </c:pt>
                <c:pt idx="13">
                  <c:v>46285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  <c:pt idx="19">
                  <c:v>46293</c:v>
                </c:pt>
                <c:pt idx="20">
                  <c:v>46294</c:v>
                </c:pt>
              </c:numCache>
            </c:numRef>
          </c:cat>
          <c:val>
            <c:numRef>
              <c:f>'September Report'!$D$23:$D$43</c:f>
              <c:numCache>
                <c:formatCode>#,##0.00</c:formatCode>
                <c:ptCount val="21"/>
                <c:pt idx="0">
                  <c:v>0</c:v>
                </c:pt>
                <c:pt idx="1">
                  <c:v>1900</c:v>
                </c:pt>
                <c:pt idx="2">
                  <c:v>2850</c:v>
                </c:pt>
                <c:pt idx="3">
                  <c:v>800</c:v>
                </c:pt>
                <c:pt idx="4">
                  <c:v>0</c:v>
                </c:pt>
                <c:pt idx="5">
                  <c:v>2700</c:v>
                </c:pt>
                <c:pt idx="6">
                  <c:v>2700</c:v>
                </c:pt>
                <c:pt idx="7">
                  <c:v>0</c:v>
                </c:pt>
                <c:pt idx="8">
                  <c:v>4450</c:v>
                </c:pt>
                <c:pt idx="9">
                  <c:v>850</c:v>
                </c:pt>
                <c:pt idx="10">
                  <c:v>1900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950</c:v>
                </c:pt>
                <c:pt idx="16">
                  <c:v>3980</c:v>
                </c:pt>
                <c:pt idx="17">
                  <c:v>950</c:v>
                </c:pt>
                <c:pt idx="18">
                  <c:v>4760</c:v>
                </c:pt>
                <c:pt idx="19">
                  <c:v>950</c:v>
                </c:pt>
                <c:pt idx="20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44-42BE-ADCE-949AF47C4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5264992"/>
        <c:axId val="1621992976"/>
      </c:barChart>
      <c:dateAx>
        <c:axId val="1715264992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92976"/>
        <c:crosses val="autoZero"/>
        <c:auto val="0"/>
        <c:lblOffset val="100"/>
        <c:baseTimeUnit val="days"/>
        <c:majorUnit val="4"/>
        <c:majorTimeUnit val="days"/>
      </c:dateAx>
      <c:valAx>
        <c:axId val="16219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(LKR)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6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September Quantity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'September Report'!$B$48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Report'!$A$49:$A$54</c:f>
              <c:strCache>
                <c:ptCount val="6"/>
                <c:pt idx="0">
                  <c:v>Teriyaki Rice</c:v>
                </c:pt>
                <c:pt idx="1">
                  <c:v>Teriyaki (chicken)</c:v>
                </c:pt>
                <c:pt idx="2">
                  <c:v>Thai Rice</c:v>
                </c:pt>
                <c:pt idx="4">
                  <c:v>Milkshake</c:v>
                </c:pt>
                <c:pt idx="5">
                  <c:v>Other</c:v>
                </c:pt>
              </c:strCache>
            </c:strRef>
          </c:cat>
          <c:val>
            <c:numRef>
              <c:f>'September Report'!$B$49:$B$54</c:f>
              <c:numCache>
                <c:formatCode>#,##0</c:formatCode>
                <c:ptCount val="6"/>
                <c:pt idx="0">
                  <c:v>216</c:v>
                </c:pt>
                <c:pt idx="1">
                  <c:v>118</c:v>
                </c:pt>
                <c:pt idx="2">
                  <c:v>96</c:v>
                </c:pt>
                <c:pt idx="4">
                  <c:v>53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5-423D-9291-B6AF0792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5245968"/>
        <c:axId val="1622001616"/>
      </c:barChart>
      <c:catAx>
        <c:axId val="171524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01616"/>
        <c:crosses val="autoZero"/>
        <c:auto val="1"/>
        <c:lblAlgn val="ctr"/>
        <c:lblOffset val="100"/>
        <c:noMultiLvlLbl val="0"/>
      </c:catAx>
      <c:valAx>
        <c:axId val="16220016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4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2" name="Channel Sales">
          <a:extLst>
            <a:ext uri="{FF2B5EF4-FFF2-40B4-BE49-F238E27FC236}">
              <a16:creationId xmlns:a16="http://schemas.microsoft.com/office/drawing/2014/main" id="{F3A2AFBD-E4B4-F011-1546-AEA978231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Daily Channel Sales">
          <a:extLst>
            <a:ext uri="{FF2B5EF4-FFF2-40B4-BE49-F238E27FC236}">
              <a16:creationId xmlns:a16="http://schemas.microsoft.com/office/drawing/2014/main" id="{2EFEDBCE-9437-96D8-3334-077EA3C0F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5" name="Product Quantity Mix">
          <a:extLst>
            <a:ext uri="{FF2B5EF4-FFF2-40B4-BE49-F238E27FC236}">
              <a16:creationId xmlns:a16="http://schemas.microsoft.com/office/drawing/2014/main" id="{36F349E9-5F57-A836-5462-91A167835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9A38B-B633-4C98-B905-85B521CD4C1C}" name="SepSalesDetailTable" displayName="SepSalesDetailTable" ref="A1:H337" totalsRowShown="0">
  <autoFilter ref="A1:H337" xr:uid="{94E9A38B-B633-4C98-B905-85B521CD4C1C}"/>
  <tableColumns count="8">
    <tableColumn id="1" xr3:uid="{421B4C72-65A2-4830-AC4D-110E207012C8}" name="Source Row"/>
    <tableColumn id="2" xr3:uid="{321D6B30-6655-444A-A714-9814F1E95C3D}" name="Date" dataDxfId="3"/>
    <tableColumn id="3" xr3:uid="{C3C3B8EE-C8BB-4688-8BDF-7B7558598C33}" name="Customer"/>
    <tableColumn id="4" xr3:uid="{86F95D5E-48F1-401F-8553-C1B9805CD6A3}" name="Channel"/>
    <tableColumn id="5" xr3:uid="{5B4340D7-9652-4680-8282-D25671C661FE}" name="Quantity" dataDxfId="2"/>
    <tableColumn id="6" xr3:uid="{8E66C294-7A08-4788-8427-A423679BAC33}" name="Sales (LKR)" dataDxfId="1"/>
    <tableColumn id="7" xr3:uid="{BAA78FFA-B960-40B1-AAC9-E09B4AE5419C}" name="Items" dataDxfId="0"/>
    <tableColumn id="8" xr3:uid="{D90364A0-0C64-42D2-B699-88E03BACD52F}" name="Order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9"/>
  <sheetViews>
    <sheetView workbookViewId="0">
      <selection activeCell="N7" sqref="N7"/>
    </sheetView>
  </sheetViews>
  <sheetFormatPr defaultRowHeight="14.4" x14ac:dyDescent="0.3"/>
  <sheetData>
    <row r="1" spans="1:27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thickBot="1" x14ac:dyDescent="0.35">
      <c r="A2" s="21" t="s">
        <v>0</v>
      </c>
      <c r="B2" s="22"/>
      <c r="C2" s="22"/>
      <c r="D2" s="22"/>
      <c r="E2" s="22"/>
      <c r="F2" s="22"/>
      <c r="G2" s="23"/>
      <c r="H2" s="1"/>
      <c r="I2" s="1"/>
      <c r="J2" s="1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.6" thickBot="1" x14ac:dyDescent="0.35">
      <c r="A3" s="1">
        <v>1</v>
      </c>
      <c r="B3" s="3">
        <v>46266</v>
      </c>
      <c r="C3" s="1" t="s">
        <v>2</v>
      </c>
      <c r="D3" s="1">
        <v>1</v>
      </c>
      <c r="E3" s="4" t="s">
        <v>3</v>
      </c>
      <c r="F3" s="1" t="s">
        <v>4</v>
      </c>
      <c r="G3" s="1" t="s">
        <v>5</v>
      </c>
      <c r="H3" s="1"/>
      <c r="I3" s="1"/>
      <c r="J3" s="1" t="s">
        <v>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7.6" thickBot="1" x14ac:dyDescent="0.35">
      <c r="A4" s="1">
        <v>2</v>
      </c>
      <c r="B4" s="3">
        <v>46266</v>
      </c>
      <c r="C4" s="1" t="s">
        <v>7</v>
      </c>
      <c r="D4" s="1">
        <v>2</v>
      </c>
      <c r="E4" s="1" t="s">
        <v>8</v>
      </c>
      <c r="F4" s="1" t="s">
        <v>9</v>
      </c>
      <c r="G4" s="1" t="s">
        <v>10</v>
      </c>
      <c r="H4" s="1"/>
      <c r="I4" s="1"/>
      <c r="J4" s="1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.6" thickBot="1" x14ac:dyDescent="0.35">
      <c r="A5" s="1">
        <v>3</v>
      </c>
      <c r="B5" s="3">
        <v>46266</v>
      </c>
      <c r="C5" s="1" t="s">
        <v>12</v>
      </c>
      <c r="D5" s="1">
        <v>2.5</v>
      </c>
      <c r="E5" s="1" t="s">
        <v>8</v>
      </c>
      <c r="F5" s="1" t="s">
        <v>9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7.6" thickBot="1" x14ac:dyDescent="0.35">
      <c r="A6" s="1">
        <v>4</v>
      </c>
      <c r="B6" s="3">
        <v>46266</v>
      </c>
      <c r="C6" s="1" t="s">
        <v>14</v>
      </c>
      <c r="D6" s="1">
        <v>1</v>
      </c>
      <c r="E6" s="1" t="s">
        <v>8</v>
      </c>
      <c r="F6" s="1" t="s">
        <v>15</v>
      </c>
      <c r="G6" s="1" t="s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7.6" thickBot="1" x14ac:dyDescent="0.35">
      <c r="A7" s="1">
        <v>5</v>
      </c>
      <c r="B7" s="3">
        <v>46266</v>
      </c>
      <c r="C7" s="1" t="s">
        <v>16</v>
      </c>
      <c r="D7" s="1">
        <v>3</v>
      </c>
      <c r="E7" s="1" t="s">
        <v>8</v>
      </c>
      <c r="F7" s="1" t="s">
        <v>17</v>
      </c>
      <c r="G7" s="1" t="s">
        <v>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7.6" thickBot="1" x14ac:dyDescent="0.35">
      <c r="A8" s="1">
        <v>6</v>
      </c>
      <c r="B8" s="3">
        <v>46266</v>
      </c>
      <c r="C8" s="1" t="s">
        <v>19</v>
      </c>
      <c r="D8" s="1">
        <v>1</v>
      </c>
      <c r="E8" s="4" t="s">
        <v>20</v>
      </c>
      <c r="F8" s="1" t="s">
        <v>4</v>
      </c>
      <c r="G8" s="1" t="s"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7.6" thickBot="1" x14ac:dyDescent="0.35">
      <c r="A9" s="1">
        <v>7</v>
      </c>
      <c r="B9" s="3">
        <v>46266</v>
      </c>
      <c r="C9" s="1" t="s">
        <v>21</v>
      </c>
      <c r="D9" s="1">
        <v>1</v>
      </c>
      <c r="E9" s="1" t="s">
        <v>8</v>
      </c>
      <c r="F9" s="1" t="s">
        <v>15</v>
      </c>
      <c r="G9" s="1" t="s"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7.6" thickBot="1" x14ac:dyDescent="0.35">
      <c r="A10" s="1">
        <v>8</v>
      </c>
      <c r="B10" s="3">
        <v>46266</v>
      </c>
      <c r="C10" s="1" t="s">
        <v>22</v>
      </c>
      <c r="D10" s="1">
        <v>1</v>
      </c>
      <c r="E10" s="1" t="s">
        <v>8</v>
      </c>
      <c r="F10" s="1" t="s">
        <v>15</v>
      </c>
      <c r="G10" s="1" t="s">
        <v>5</v>
      </c>
      <c r="H10" s="1"/>
      <c r="I10" s="1"/>
      <c r="J10" s="1" t="s">
        <v>23</v>
      </c>
      <c r="K10" s="1">
        <v>106.5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7.6" thickBot="1" x14ac:dyDescent="0.35">
      <c r="A11" s="1">
        <v>9</v>
      </c>
      <c r="B11" s="3">
        <v>46266</v>
      </c>
      <c r="C11" s="1" t="s">
        <v>24</v>
      </c>
      <c r="D11" s="1">
        <v>1</v>
      </c>
      <c r="E11" s="4" t="s">
        <v>25</v>
      </c>
      <c r="F11" s="1" t="s">
        <v>4</v>
      </c>
      <c r="G11" s="1" t="s">
        <v>5</v>
      </c>
      <c r="H11" s="1"/>
      <c r="I11" s="1"/>
      <c r="J11" s="1" t="s">
        <v>26</v>
      </c>
      <c r="K11" s="1">
        <v>104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7.6" thickBot="1" x14ac:dyDescent="0.35">
      <c r="A12" s="1">
        <v>10</v>
      </c>
      <c r="B12" s="3">
        <v>46266</v>
      </c>
      <c r="C12" s="1" t="s">
        <v>27</v>
      </c>
      <c r="D12" s="1">
        <v>2</v>
      </c>
      <c r="E12" s="1" t="s">
        <v>8</v>
      </c>
      <c r="F12" s="1" t="s">
        <v>9</v>
      </c>
      <c r="G12" s="1" t="s">
        <v>28</v>
      </c>
      <c r="H12" s="1"/>
      <c r="I12" s="1"/>
      <c r="J12" s="1" t="s">
        <v>29</v>
      </c>
      <c r="K12" s="1">
        <v>131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7.6" thickBot="1" x14ac:dyDescent="0.35">
      <c r="A13" s="1">
        <v>11</v>
      </c>
      <c r="B13" s="3">
        <v>46266</v>
      </c>
      <c r="C13" s="1" t="s">
        <v>30</v>
      </c>
      <c r="D13" s="1">
        <v>1</v>
      </c>
      <c r="E13" s="4" t="s">
        <v>31</v>
      </c>
      <c r="F13" s="1" t="s">
        <v>4</v>
      </c>
      <c r="G13" s="1" t="s">
        <v>5</v>
      </c>
      <c r="H13" s="1"/>
      <c r="I13" s="1"/>
      <c r="J13" s="1" t="s">
        <v>32</v>
      </c>
      <c r="K13" s="1">
        <v>156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40.799999999999997" thickBot="1" x14ac:dyDescent="0.35">
      <c r="A14" s="1">
        <v>12</v>
      </c>
      <c r="B14" s="3">
        <v>46266</v>
      </c>
      <c r="C14" s="1" t="s">
        <v>21</v>
      </c>
      <c r="D14" s="1">
        <v>2</v>
      </c>
      <c r="E14" s="1" t="s">
        <v>8</v>
      </c>
      <c r="F14" s="1" t="s">
        <v>33</v>
      </c>
      <c r="G14" s="1" t="s">
        <v>34</v>
      </c>
      <c r="H14" s="1"/>
      <c r="I14" s="1"/>
      <c r="J14" s="1" t="s">
        <v>35</v>
      </c>
      <c r="K14" s="5">
        <v>50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7.6" thickBot="1" x14ac:dyDescent="0.35">
      <c r="A15" s="5">
        <v>13</v>
      </c>
      <c r="B15" s="6">
        <v>46266</v>
      </c>
      <c r="C15" s="5" t="s">
        <v>36</v>
      </c>
      <c r="D15" s="5">
        <v>1</v>
      </c>
      <c r="E15" s="5" t="s">
        <v>37</v>
      </c>
      <c r="F15" s="5" t="s">
        <v>4</v>
      </c>
      <c r="G15" s="5" t="s">
        <v>38</v>
      </c>
      <c r="H15" s="1">
        <v>19.5</v>
      </c>
      <c r="I15" s="1"/>
      <c r="J15" s="7" t="s">
        <v>39</v>
      </c>
      <c r="K15" s="8">
        <v>547.5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7.6" thickBot="1" x14ac:dyDescent="0.35">
      <c r="A16" s="1">
        <v>1</v>
      </c>
      <c r="B16" s="3">
        <v>46267</v>
      </c>
      <c r="C16" s="1" t="s">
        <v>2</v>
      </c>
      <c r="D16" s="1">
        <v>1</v>
      </c>
      <c r="E16" s="1" t="s">
        <v>8</v>
      </c>
      <c r="F16" s="1" t="s">
        <v>15</v>
      </c>
      <c r="G16" s="1" t="s">
        <v>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0.799999999999997" thickBot="1" x14ac:dyDescent="0.35">
      <c r="A17" s="1">
        <v>2</v>
      </c>
      <c r="B17" s="3">
        <v>46267</v>
      </c>
      <c r="C17" s="1" t="s">
        <v>40</v>
      </c>
      <c r="D17" s="1">
        <v>4</v>
      </c>
      <c r="E17" s="1" t="s">
        <v>8</v>
      </c>
      <c r="F17" s="1" t="s">
        <v>41</v>
      </c>
      <c r="G17" s="1" t="s">
        <v>42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35">
      <c r="A18" s="1">
        <v>3</v>
      </c>
      <c r="B18" s="3">
        <v>46267</v>
      </c>
      <c r="C18" s="1" t="s">
        <v>43</v>
      </c>
      <c r="D18" s="1">
        <v>1</v>
      </c>
      <c r="E18" s="9">
        <v>182399514</v>
      </c>
      <c r="F18" s="1" t="s">
        <v>4</v>
      </c>
      <c r="G18" s="1" t="s">
        <v>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0.799999999999997" thickBot="1" x14ac:dyDescent="0.35">
      <c r="A19" s="1">
        <v>4</v>
      </c>
      <c r="B19" s="3">
        <v>46285</v>
      </c>
      <c r="C19" s="1" t="s">
        <v>45</v>
      </c>
      <c r="D19" s="1">
        <v>2</v>
      </c>
      <c r="E19" s="1" t="s">
        <v>8</v>
      </c>
      <c r="F19" s="1" t="s">
        <v>9</v>
      </c>
      <c r="G19" s="1" t="s">
        <v>46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7.6" thickBot="1" x14ac:dyDescent="0.35">
      <c r="A20" s="1">
        <v>5</v>
      </c>
      <c r="B20" s="3">
        <v>46285</v>
      </c>
      <c r="C20" s="1" t="s">
        <v>47</v>
      </c>
      <c r="D20" s="1">
        <v>1</v>
      </c>
      <c r="E20" s="4" t="s">
        <v>48</v>
      </c>
      <c r="F20" s="1" t="s">
        <v>49</v>
      </c>
      <c r="G20" s="1" t="s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7.6" thickBot="1" x14ac:dyDescent="0.35">
      <c r="A21" s="1">
        <v>6</v>
      </c>
      <c r="B21" s="3">
        <v>46267</v>
      </c>
      <c r="C21" s="1" t="s">
        <v>51</v>
      </c>
      <c r="D21" s="1">
        <v>1</v>
      </c>
      <c r="E21" s="4" t="s">
        <v>52</v>
      </c>
      <c r="F21" s="1" t="s">
        <v>4</v>
      </c>
      <c r="G21" s="1" t="s">
        <v>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7.6" thickBot="1" x14ac:dyDescent="0.35">
      <c r="A22" s="1">
        <v>7</v>
      </c>
      <c r="B22" s="3">
        <v>46267</v>
      </c>
      <c r="C22" s="1" t="s">
        <v>53</v>
      </c>
      <c r="D22" s="1">
        <v>1</v>
      </c>
      <c r="E22" s="9">
        <v>182393526</v>
      </c>
      <c r="F22" s="1" t="s">
        <v>4</v>
      </c>
      <c r="G22" s="1" t="s">
        <v>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7.6" thickBot="1" x14ac:dyDescent="0.35">
      <c r="A23" s="1">
        <v>8</v>
      </c>
      <c r="B23" s="3">
        <v>46267</v>
      </c>
      <c r="C23" s="1" t="s">
        <v>54</v>
      </c>
      <c r="D23" s="1">
        <v>1</v>
      </c>
      <c r="E23" s="1" t="s">
        <v>8</v>
      </c>
      <c r="F23" s="1" t="s">
        <v>15</v>
      </c>
      <c r="G23" s="1" t="s">
        <v>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35">
      <c r="A24" s="1">
        <v>9</v>
      </c>
      <c r="B24" s="3">
        <v>46267</v>
      </c>
      <c r="C24" s="1" t="s">
        <v>36</v>
      </c>
      <c r="D24" s="1">
        <v>1</v>
      </c>
      <c r="E24" s="4">
        <v>83422</v>
      </c>
      <c r="F24" s="1" t="s">
        <v>4</v>
      </c>
      <c r="G24" s="1" t="s">
        <v>44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7.6" thickBot="1" x14ac:dyDescent="0.35">
      <c r="A25" s="1">
        <v>10</v>
      </c>
      <c r="B25" s="3">
        <v>46267</v>
      </c>
      <c r="C25" s="1" t="s">
        <v>55</v>
      </c>
      <c r="D25" s="1">
        <v>1</v>
      </c>
      <c r="E25" s="1" t="s">
        <v>8</v>
      </c>
      <c r="F25" s="1" t="s">
        <v>15</v>
      </c>
      <c r="G25" s="1" t="s">
        <v>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0.799999999999997" thickBot="1" x14ac:dyDescent="0.35">
      <c r="A26" s="1">
        <v>11</v>
      </c>
      <c r="B26" s="3">
        <v>46267</v>
      </c>
      <c r="C26" s="1" t="s">
        <v>56</v>
      </c>
      <c r="D26" s="1">
        <v>3</v>
      </c>
      <c r="E26" s="1" t="s">
        <v>8</v>
      </c>
      <c r="F26" s="1" t="s">
        <v>57</v>
      </c>
      <c r="G26" s="1" t="s">
        <v>58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54" thickBot="1" x14ac:dyDescent="0.35">
      <c r="A27" s="1">
        <v>12</v>
      </c>
      <c r="B27" s="3">
        <v>46267</v>
      </c>
      <c r="C27" s="1" t="s">
        <v>59</v>
      </c>
      <c r="D27" s="1">
        <v>2</v>
      </c>
      <c r="E27" s="4" t="s">
        <v>60</v>
      </c>
      <c r="F27" s="1" t="s">
        <v>61</v>
      </c>
      <c r="G27" s="1" t="s">
        <v>62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0.799999999999997" thickBot="1" x14ac:dyDescent="0.35">
      <c r="A28" s="1">
        <v>13</v>
      </c>
      <c r="B28" s="3">
        <v>46285</v>
      </c>
      <c r="C28" s="1" t="s">
        <v>63</v>
      </c>
      <c r="D28" s="1">
        <v>2</v>
      </c>
      <c r="E28" s="4">
        <v>86079</v>
      </c>
      <c r="F28" s="1" t="s">
        <v>61</v>
      </c>
      <c r="G28" s="1" t="s">
        <v>34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7.6" thickBot="1" x14ac:dyDescent="0.35">
      <c r="A29" s="1">
        <v>14</v>
      </c>
      <c r="B29" s="3">
        <v>46285</v>
      </c>
      <c r="C29" s="1" t="s">
        <v>64</v>
      </c>
      <c r="D29" s="1">
        <v>1</v>
      </c>
      <c r="E29" s="1" t="s">
        <v>8</v>
      </c>
      <c r="F29" s="1" t="s">
        <v>15</v>
      </c>
      <c r="G29" s="1" t="s">
        <v>65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7.6" thickBot="1" x14ac:dyDescent="0.35">
      <c r="A30" s="1">
        <v>15</v>
      </c>
      <c r="B30" s="3">
        <v>46267</v>
      </c>
      <c r="C30" s="1" t="s">
        <v>66</v>
      </c>
      <c r="D30" s="1">
        <v>1</v>
      </c>
      <c r="E30" s="1" t="s">
        <v>8</v>
      </c>
      <c r="F30" s="1" t="s">
        <v>15</v>
      </c>
      <c r="G30" s="1" t="s">
        <v>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7.6" thickBot="1" x14ac:dyDescent="0.35">
      <c r="A31" s="1">
        <v>16</v>
      </c>
      <c r="B31" s="3">
        <v>46267</v>
      </c>
      <c r="C31" s="1" t="s">
        <v>21</v>
      </c>
      <c r="D31" s="1">
        <v>1</v>
      </c>
      <c r="E31" s="1" t="s">
        <v>8</v>
      </c>
      <c r="F31" s="1" t="s">
        <v>15</v>
      </c>
      <c r="G31" s="1" t="s">
        <v>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35">
      <c r="A32" s="1">
        <v>17</v>
      </c>
      <c r="B32" s="3">
        <v>46267</v>
      </c>
      <c r="C32" s="1" t="s">
        <v>45</v>
      </c>
      <c r="D32" s="1">
        <v>1</v>
      </c>
      <c r="E32" s="1" t="s">
        <v>8</v>
      </c>
      <c r="F32" s="1" t="s">
        <v>15</v>
      </c>
      <c r="G32" s="1" t="s">
        <v>44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7.6" thickBot="1" x14ac:dyDescent="0.35">
      <c r="A33" s="1">
        <v>18</v>
      </c>
      <c r="B33" s="3">
        <v>46267</v>
      </c>
      <c r="C33" s="1" t="s">
        <v>45</v>
      </c>
      <c r="D33" s="1">
        <v>1</v>
      </c>
      <c r="E33" s="1" t="s">
        <v>8</v>
      </c>
      <c r="F33" s="1" t="s">
        <v>67</v>
      </c>
      <c r="G33" s="1" t="s">
        <v>50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7.6" thickBot="1" x14ac:dyDescent="0.35">
      <c r="A34" s="1">
        <v>19</v>
      </c>
      <c r="B34" s="3">
        <v>46285</v>
      </c>
      <c r="C34" s="1" t="s">
        <v>68</v>
      </c>
      <c r="D34" s="1">
        <v>1</v>
      </c>
      <c r="E34" s="1" t="s">
        <v>8</v>
      </c>
      <c r="F34" s="1" t="s">
        <v>67</v>
      </c>
      <c r="G34" s="1" t="s">
        <v>50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7.6" thickBot="1" x14ac:dyDescent="0.35">
      <c r="A35" s="1">
        <v>20</v>
      </c>
      <c r="B35" s="3">
        <v>46267</v>
      </c>
      <c r="C35" s="1" t="s">
        <v>69</v>
      </c>
      <c r="D35" s="1">
        <v>1</v>
      </c>
      <c r="E35" s="4" t="s">
        <v>70</v>
      </c>
      <c r="F35" s="1" t="s">
        <v>4</v>
      </c>
      <c r="G35" s="1" t="s">
        <v>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0.799999999999997" thickBot="1" x14ac:dyDescent="0.35">
      <c r="A36" s="1">
        <v>21</v>
      </c>
      <c r="B36" s="3">
        <v>46267</v>
      </c>
      <c r="C36" s="1" t="s">
        <v>71</v>
      </c>
      <c r="D36" s="1">
        <v>3</v>
      </c>
      <c r="E36" s="1" t="s">
        <v>8</v>
      </c>
      <c r="F36" s="1" t="s">
        <v>61</v>
      </c>
      <c r="G36" s="1" t="s">
        <v>72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54" thickBot="1" x14ac:dyDescent="0.35">
      <c r="A37" s="5">
        <v>22</v>
      </c>
      <c r="B37" s="6">
        <v>46267</v>
      </c>
      <c r="C37" s="5" t="s">
        <v>73</v>
      </c>
      <c r="D37" s="5">
        <v>2</v>
      </c>
      <c r="E37" s="5" t="s">
        <v>8</v>
      </c>
      <c r="F37" s="5" t="s">
        <v>74</v>
      </c>
      <c r="G37" s="5" t="s">
        <v>75</v>
      </c>
      <c r="H37" s="1">
        <v>33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7.6" thickBot="1" x14ac:dyDescent="0.35">
      <c r="A38" s="1">
        <v>1</v>
      </c>
      <c r="B38" s="3">
        <v>46268</v>
      </c>
      <c r="C38" s="1" t="s">
        <v>76</v>
      </c>
      <c r="D38" s="1">
        <v>1</v>
      </c>
      <c r="E38" s="4" t="s">
        <v>77</v>
      </c>
      <c r="F38" s="1" t="s">
        <v>49</v>
      </c>
      <c r="G38" s="1" t="s">
        <v>50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0.799999999999997" thickBot="1" x14ac:dyDescent="0.35">
      <c r="A39" s="1">
        <v>2</v>
      </c>
      <c r="B39" s="3">
        <v>46268</v>
      </c>
      <c r="C39" s="1" t="s">
        <v>12</v>
      </c>
      <c r="D39" s="1">
        <v>4</v>
      </c>
      <c r="E39" s="1" t="s">
        <v>8</v>
      </c>
      <c r="F39" s="1" t="s">
        <v>41</v>
      </c>
      <c r="G39" s="1" t="s">
        <v>42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7.6" thickBot="1" x14ac:dyDescent="0.35">
      <c r="A40" s="1">
        <v>3</v>
      </c>
      <c r="B40" s="3">
        <v>46268</v>
      </c>
      <c r="C40" s="1" t="s">
        <v>78</v>
      </c>
      <c r="D40" s="1">
        <v>1</v>
      </c>
      <c r="E40" s="9">
        <v>182427010</v>
      </c>
      <c r="F40" s="1" t="s">
        <v>4</v>
      </c>
      <c r="G40" s="1" t="s">
        <v>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35">
      <c r="A41" s="1">
        <v>4</v>
      </c>
      <c r="B41" s="3">
        <v>46268</v>
      </c>
      <c r="C41" s="1" t="s">
        <v>79</v>
      </c>
      <c r="D41" s="1">
        <v>1</v>
      </c>
      <c r="E41" s="9">
        <v>182427690</v>
      </c>
      <c r="F41" s="1" t="s">
        <v>4</v>
      </c>
      <c r="G41" s="1" t="s">
        <v>44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7.6" thickBot="1" x14ac:dyDescent="0.35">
      <c r="A42" s="1">
        <v>5</v>
      </c>
      <c r="B42" s="3">
        <v>46268</v>
      </c>
      <c r="C42" s="1" t="s">
        <v>80</v>
      </c>
      <c r="D42" s="1">
        <v>1</v>
      </c>
      <c r="E42" s="1" t="s">
        <v>8</v>
      </c>
      <c r="F42" s="1" t="s">
        <v>15</v>
      </c>
      <c r="G42" s="1" t="s">
        <v>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7.6" thickBot="1" x14ac:dyDescent="0.35">
      <c r="A43" s="1">
        <v>6</v>
      </c>
      <c r="B43" s="3">
        <v>46268</v>
      </c>
      <c r="C43" s="1" t="s">
        <v>81</v>
      </c>
      <c r="D43" s="1">
        <v>2</v>
      </c>
      <c r="E43" s="1" t="s">
        <v>8</v>
      </c>
      <c r="F43" s="1" t="s">
        <v>9</v>
      </c>
      <c r="G43" s="1" t="s"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0.799999999999997" thickBot="1" x14ac:dyDescent="0.35">
      <c r="A44" s="1">
        <v>7</v>
      </c>
      <c r="B44" s="3">
        <v>46268</v>
      </c>
      <c r="C44" s="1" t="s">
        <v>19</v>
      </c>
      <c r="D44" s="1">
        <v>2</v>
      </c>
      <c r="E44" s="4" t="s">
        <v>82</v>
      </c>
      <c r="F44" s="1" t="s">
        <v>83</v>
      </c>
      <c r="G44" s="1" t="s">
        <v>84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35">
      <c r="A45" s="1">
        <v>8</v>
      </c>
      <c r="B45" s="3">
        <v>46268</v>
      </c>
      <c r="C45" s="1" t="s">
        <v>85</v>
      </c>
      <c r="D45" s="1">
        <v>1</v>
      </c>
      <c r="E45" s="4" t="s">
        <v>86</v>
      </c>
      <c r="F45" s="1" t="s">
        <v>4</v>
      </c>
      <c r="G45" s="1" t="s">
        <v>44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7.6" thickBot="1" x14ac:dyDescent="0.35">
      <c r="A46" s="1">
        <v>9</v>
      </c>
      <c r="B46" s="3">
        <v>46268</v>
      </c>
      <c r="C46" s="1" t="s">
        <v>87</v>
      </c>
      <c r="D46" s="1">
        <v>1</v>
      </c>
      <c r="E46" s="9">
        <v>182429519</v>
      </c>
      <c r="F46" s="1" t="s">
        <v>4</v>
      </c>
      <c r="G46" s="1" t="s"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35">
      <c r="A47" s="1">
        <v>10</v>
      </c>
      <c r="B47" s="3">
        <v>46268</v>
      </c>
      <c r="C47" s="1" t="s">
        <v>88</v>
      </c>
      <c r="D47" s="1">
        <v>1</v>
      </c>
      <c r="E47" s="4" t="s">
        <v>89</v>
      </c>
      <c r="F47" s="1" t="s">
        <v>49</v>
      </c>
      <c r="G47" s="1" t="s">
        <v>90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7.6" thickBot="1" x14ac:dyDescent="0.35">
      <c r="A48" s="1">
        <v>11</v>
      </c>
      <c r="B48" s="3">
        <v>46268</v>
      </c>
      <c r="C48" s="1" t="s">
        <v>91</v>
      </c>
      <c r="D48" s="1">
        <v>1</v>
      </c>
      <c r="E48" s="1" t="s">
        <v>8</v>
      </c>
      <c r="F48" s="1" t="s">
        <v>15</v>
      </c>
      <c r="G48" s="1" t="s">
        <v>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7.6" thickBot="1" x14ac:dyDescent="0.35">
      <c r="A49" s="1">
        <v>12</v>
      </c>
      <c r="B49" s="3">
        <v>46268</v>
      </c>
      <c r="C49" s="1" t="s">
        <v>92</v>
      </c>
      <c r="D49" s="1">
        <v>1</v>
      </c>
      <c r="E49" s="1" t="s">
        <v>8</v>
      </c>
      <c r="F49" s="1" t="s">
        <v>15</v>
      </c>
      <c r="G49" s="1" t="s">
        <v>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35">
      <c r="A50" s="1">
        <v>13</v>
      </c>
      <c r="B50" s="3">
        <v>46268</v>
      </c>
      <c r="C50" s="1" t="s">
        <v>45</v>
      </c>
      <c r="D50" s="1">
        <v>1</v>
      </c>
      <c r="E50" s="1" t="s">
        <v>8</v>
      </c>
      <c r="F50" s="1" t="s">
        <v>67</v>
      </c>
      <c r="G50" s="1" t="s">
        <v>90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7.6" thickBot="1" x14ac:dyDescent="0.35">
      <c r="A51" s="1">
        <v>14</v>
      </c>
      <c r="B51" s="3">
        <v>46268</v>
      </c>
      <c r="C51" s="1" t="s">
        <v>66</v>
      </c>
      <c r="D51" s="1">
        <v>1</v>
      </c>
      <c r="E51" s="1" t="s">
        <v>8</v>
      </c>
      <c r="F51" s="1" t="s">
        <v>15</v>
      </c>
      <c r="G51" s="1" t="s">
        <v>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0.799999999999997" thickBot="1" x14ac:dyDescent="0.35">
      <c r="A52" s="1">
        <v>15</v>
      </c>
      <c r="B52" s="3">
        <v>46268</v>
      </c>
      <c r="C52" s="1" t="s">
        <v>93</v>
      </c>
      <c r="D52" s="1">
        <v>2</v>
      </c>
      <c r="E52" s="1" t="s">
        <v>8</v>
      </c>
      <c r="F52" s="1" t="s">
        <v>33</v>
      </c>
      <c r="G52" s="1" t="s">
        <v>94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0.799999999999997" thickBot="1" x14ac:dyDescent="0.35">
      <c r="A53" s="1">
        <v>16</v>
      </c>
      <c r="B53" s="3">
        <v>46268</v>
      </c>
      <c r="C53" s="1" t="s">
        <v>95</v>
      </c>
      <c r="D53" s="1">
        <v>3</v>
      </c>
      <c r="E53" s="4" t="s">
        <v>96</v>
      </c>
      <c r="F53" s="1" t="s">
        <v>97</v>
      </c>
      <c r="G53" s="1" t="s">
        <v>98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35">
      <c r="A54" s="5">
        <v>17</v>
      </c>
      <c r="B54" s="6">
        <v>46268</v>
      </c>
      <c r="C54" s="5" t="s">
        <v>99</v>
      </c>
      <c r="D54" s="5">
        <v>1</v>
      </c>
      <c r="E54" s="5" t="s">
        <v>8</v>
      </c>
      <c r="F54" s="5" t="s">
        <v>15</v>
      </c>
      <c r="G54" s="5" t="s">
        <v>44</v>
      </c>
      <c r="H54" s="1">
        <v>25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54" thickBot="1" x14ac:dyDescent="0.35">
      <c r="A55" s="1">
        <v>1</v>
      </c>
      <c r="B55" s="3">
        <v>46269</v>
      </c>
      <c r="C55" s="1" t="s">
        <v>100</v>
      </c>
      <c r="D55" s="1">
        <v>1</v>
      </c>
      <c r="E55" s="1" t="s">
        <v>8</v>
      </c>
      <c r="F55" s="1" t="s">
        <v>33</v>
      </c>
      <c r="G55" s="1" t="s">
        <v>62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0.799999999999997" thickBot="1" x14ac:dyDescent="0.35">
      <c r="A56" s="1">
        <v>2</v>
      </c>
      <c r="B56" s="3">
        <v>46269</v>
      </c>
      <c r="C56" s="1" t="s">
        <v>12</v>
      </c>
      <c r="D56" s="1">
        <v>8</v>
      </c>
      <c r="E56" s="1" t="s">
        <v>8</v>
      </c>
      <c r="F56" s="1" t="s">
        <v>101</v>
      </c>
      <c r="G56" s="1" t="s">
        <v>102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7.6" thickBot="1" x14ac:dyDescent="0.35">
      <c r="A57" s="1">
        <v>3</v>
      </c>
      <c r="B57" s="3">
        <v>46269</v>
      </c>
      <c r="C57" s="1" t="s">
        <v>76</v>
      </c>
      <c r="D57" s="1">
        <v>1</v>
      </c>
      <c r="E57" s="4" t="s">
        <v>103</v>
      </c>
      <c r="F57" s="1" t="s">
        <v>4</v>
      </c>
      <c r="G57" s="1" t="s">
        <v>44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7.6" thickBot="1" x14ac:dyDescent="0.35">
      <c r="A58" s="1">
        <v>4</v>
      </c>
      <c r="B58" s="3">
        <v>46269</v>
      </c>
      <c r="C58" s="1" t="s">
        <v>104</v>
      </c>
      <c r="D58" s="1">
        <v>2</v>
      </c>
      <c r="E58" s="4" t="s">
        <v>105</v>
      </c>
      <c r="F58" s="1" t="s">
        <v>83</v>
      </c>
      <c r="G58" s="1" t="s">
        <v>28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40.799999999999997" thickBot="1" x14ac:dyDescent="0.35">
      <c r="A59" s="1">
        <v>5</v>
      </c>
      <c r="B59" s="3">
        <v>46269</v>
      </c>
      <c r="C59" s="1" t="s">
        <v>45</v>
      </c>
      <c r="D59" s="1">
        <v>4</v>
      </c>
      <c r="E59" s="1" t="s">
        <v>8</v>
      </c>
      <c r="F59" s="1" t="s">
        <v>106</v>
      </c>
      <c r="G59" s="1" t="s">
        <v>107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35">
      <c r="A60" s="1">
        <v>6</v>
      </c>
      <c r="B60" s="3">
        <v>46269</v>
      </c>
      <c r="C60" s="1" t="s">
        <v>108</v>
      </c>
      <c r="D60" s="1">
        <v>1</v>
      </c>
      <c r="E60" s="4" t="s">
        <v>109</v>
      </c>
      <c r="F60" s="1" t="s">
        <v>4</v>
      </c>
      <c r="G60" s="1" t="s">
        <v>44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7.6" thickBot="1" x14ac:dyDescent="0.35">
      <c r="A61" s="1">
        <v>7</v>
      </c>
      <c r="B61" s="3">
        <v>46269</v>
      </c>
      <c r="C61" s="1" t="s">
        <v>91</v>
      </c>
      <c r="D61" s="1">
        <v>1</v>
      </c>
      <c r="E61" s="1" t="s">
        <v>8</v>
      </c>
      <c r="F61" s="1" t="s">
        <v>15</v>
      </c>
      <c r="G61" s="1" t="s">
        <v>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7.6" thickBot="1" x14ac:dyDescent="0.35">
      <c r="A62" s="1">
        <v>8</v>
      </c>
      <c r="B62" s="3">
        <v>46269</v>
      </c>
      <c r="C62" s="1" t="s">
        <v>110</v>
      </c>
      <c r="D62" s="1">
        <v>1</v>
      </c>
      <c r="E62" s="1" t="s">
        <v>8</v>
      </c>
      <c r="F62" s="1" t="s">
        <v>15</v>
      </c>
      <c r="G62" s="1" t="s">
        <v>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7.6" thickBot="1" x14ac:dyDescent="0.35">
      <c r="A63" s="1">
        <v>9</v>
      </c>
      <c r="B63" s="3">
        <v>46269</v>
      </c>
      <c r="C63" s="1" t="s">
        <v>111</v>
      </c>
      <c r="D63" s="1">
        <v>1</v>
      </c>
      <c r="E63" s="4">
        <v>76162</v>
      </c>
      <c r="F63" s="1" t="s">
        <v>4</v>
      </c>
      <c r="G63" s="1" t="s">
        <v>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35">
      <c r="A64" s="1">
        <v>10</v>
      </c>
      <c r="B64" s="3">
        <v>46269</v>
      </c>
      <c r="C64" s="1" t="s">
        <v>79</v>
      </c>
      <c r="D64" s="1">
        <v>1</v>
      </c>
      <c r="E64" s="9">
        <v>182475853</v>
      </c>
      <c r="F64" s="1" t="s">
        <v>49</v>
      </c>
      <c r="G64" s="1" t="s">
        <v>90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0.799999999999997" thickBot="1" x14ac:dyDescent="0.35">
      <c r="A65" s="1">
        <v>11</v>
      </c>
      <c r="B65" s="3">
        <v>46269</v>
      </c>
      <c r="C65" s="1" t="s">
        <v>112</v>
      </c>
      <c r="D65" s="1">
        <v>2</v>
      </c>
      <c r="E65" s="4" t="s">
        <v>113</v>
      </c>
      <c r="F65" s="1" t="s">
        <v>83</v>
      </c>
      <c r="G65" s="1" t="s">
        <v>46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0.799999999999997" thickBot="1" x14ac:dyDescent="0.35">
      <c r="A66" s="1">
        <v>12</v>
      </c>
      <c r="B66" s="3">
        <v>46269</v>
      </c>
      <c r="C66" s="1" t="s">
        <v>45</v>
      </c>
      <c r="D66" s="1">
        <v>2</v>
      </c>
      <c r="E66" s="1" t="s">
        <v>8</v>
      </c>
      <c r="F66" s="1" t="s">
        <v>114</v>
      </c>
      <c r="G66" s="1" t="s">
        <v>115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7.6" thickBot="1" x14ac:dyDescent="0.35">
      <c r="A67" s="1">
        <v>13</v>
      </c>
      <c r="B67" s="3">
        <v>46269</v>
      </c>
      <c r="C67" s="1" t="s">
        <v>116</v>
      </c>
      <c r="D67" s="1">
        <v>1</v>
      </c>
      <c r="E67" s="4" t="s">
        <v>117</v>
      </c>
      <c r="F67" s="1" t="s">
        <v>4</v>
      </c>
      <c r="G67" s="1" t="s">
        <v>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7.6" thickBot="1" x14ac:dyDescent="0.35">
      <c r="A68" s="1">
        <v>14</v>
      </c>
      <c r="B68" s="3">
        <v>46269</v>
      </c>
      <c r="C68" s="1" t="s">
        <v>45</v>
      </c>
      <c r="D68" s="1">
        <v>1</v>
      </c>
      <c r="E68" s="1" t="s">
        <v>8</v>
      </c>
      <c r="F68" s="1" t="s">
        <v>15</v>
      </c>
      <c r="G68" s="1" t="s">
        <v>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35">
      <c r="A69" s="1">
        <v>15</v>
      </c>
      <c r="B69" s="3">
        <v>46269</v>
      </c>
      <c r="C69" s="1" t="s">
        <v>118</v>
      </c>
      <c r="D69" s="1">
        <v>1</v>
      </c>
      <c r="E69" s="4">
        <v>29491</v>
      </c>
      <c r="F69" s="1" t="s">
        <v>4</v>
      </c>
      <c r="G69" s="1" t="s">
        <v>44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7.6" thickBot="1" x14ac:dyDescent="0.35">
      <c r="A70" s="5">
        <v>16</v>
      </c>
      <c r="B70" s="6">
        <v>46269</v>
      </c>
      <c r="C70" s="5" t="s">
        <v>119</v>
      </c>
      <c r="D70" s="5">
        <v>1</v>
      </c>
      <c r="E70" s="10" t="s">
        <v>120</v>
      </c>
      <c r="F70" s="5" t="s">
        <v>121</v>
      </c>
      <c r="G70" s="5" t="s">
        <v>50</v>
      </c>
      <c r="H70" s="1">
        <v>29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35">
      <c r="A72" s="11" t="s">
        <v>122</v>
      </c>
      <c r="B72" s="12"/>
      <c r="C72" s="12"/>
      <c r="D72" s="12"/>
      <c r="E72" s="12"/>
      <c r="F72" s="12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7.6" thickBot="1" x14ac:dyDescent="0.35">
      <c r="A73" s="1">
        <v>1</v>
      </c>
      <c r="B73" s="3">
        <v>46272</v>
      </c>
      <c r="C73" s="1" t="s">
        <v>12</v>
      </c>
      <c r="D73" s="1">
        <v>4</v>
      </c>
      <c r="E73" s="1" t="s">
        <v>8</v>
      </c>
      <c r="F73" s="1" t="s">
        <v>41</v>
      </c>
      <c r="G73" s="1" t="s">
        <v>123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7.6" thickBot="1" x14ac:dyDescent="0.35">
      <c r="A74" s="1">
        <v>2</v>
      </c>
      <c r="B74" s="3">
        <v>46272</v>
      </c>
      <c r="C74" s="1" t="s">
        <v>124</v>
      </c>
      <c r="D74" s="1">
        <v>1</v>
      </c>
      <c r="E74" s="4" t="s">
        <v>125</v>
      </c>
      <c r="F74" s="1" t="s">
        <v>4</v>
      </c>
      <c r="G74" s="1" t="s">
        <v>44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35">
      <c r="A75" s="1">
        <v>3</v>
      </c>
      <c r="B75" s="3">
        <v>46272</v>
      </c>
      <c r="C75" s="1" t="s">
        <v>126</v>
      </c>
      <c r="D75" s="1">
        <v>1</v>
      </c>
      <c r="E75" s="4" t="s">
        <v>127</v>
      </c>
      <c r="F75" s="1" t="s">
        <v>4</v>
      </c>
      <c r="G75" s="1" t="s">
        <v>44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7.6" thickBot="1" x14ac:dyDescent="0.35">
      <c r="A76" s="1">
        <v>4</v>
      </c>
      <c r="B76" s="3">
        <v>46272</v>
      </c>
      <c r="C76" s="1" t="s">
        <v>128</v>
      </c>
      <c r="D76" s="1">
        <v>1</v>
      </c>
      <c r="E76" s="4" t="s">
        <v>129</v>
      </c>
      <c r="F76" s="1" t="s">
        <v>4</v>
      </c>
      <c r="G76" s="1" t="s">
        <v>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7.6" thickBot="1" x14ac:dyDescent="0.35">
      <c r="A77" s="1">
        <v>5</v>
      </c>
      <c r="B77" s="3">
        <v>46272</v>
      </c>
      <c r="C77" s="1" t="s">
        <v>130</v>
      </c>
      <c r="D77" s="1">
        <v>1</v>
      </c>
      <c r="E77" s="4" t="s">
        <v>131</v>
      </c>
      <c r="F77" s="1" t="s">
        <v>4</v>
      </c>
      <c r="G77" s="1" t="s">
        <v>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0.799999999999997" thickBot="1" x14ac:dyDescent="0.35">
      <c r="A78" s="1">
        <v>6</v>
      </c>
      <c r="B78" s="3">
        <v>46272</v>
      </c>
      <c r="C78" s="1" t="s">
        <v>132</v>
      </c>
      <c r="D78" s="1">
        <v>2</v>
      </c>
      <c r="E78" s="4" t="s">
        <v>133</v>
      </c>
      <c r="F78" s="1" t="s">
        <v>134</v>
      </c>
      <c r="G78" s="1" t="s">
        <v>115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40.799999999999997" thickBot="1" x14ac:dyDescent="0.35">
      <c r="A79" s="1">
        <v>7</v>
      </c>
      <c r="B79" s="3">
        <v>46272</v>
      </c>
      <c r="C79" s="1" t="s">
        <v>104</v>
      </c>
      <c r="D79" s="1">
        <v>2</v>
      </c>
      <c r="E79" s="4" t="s">
        <v>135</v>
      </c>
      <c r="F79" s="1" t="s">
        <v>83</v>
      </c>
      <c r="G79" s="1" t="s">
        <v>84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35">
      <c r="A80" s="1">
        <v>8</v>
      </c>
      <c r="B80" s="3">
        <v>46272</v>
      </c>
      <c r="C80" s="1" t="s">
        <v>19</v>
      </c>
      <c r="D80" s="1">
        <v>1</v>
      </c>
      <c r="E80" s="4" t="s">
        <v>136</v>
      </c>
      <c r="F80" s="1" t="s">
        <v>4</v>
      </c>
      <c r="G80" s="1" t="s">
        <v>44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7.6" thickBot="1" x14ac:dyDescent="0.35">
      <c r="A81" s="1">
        <v>9</v>
      </c>
      <c r="B81" s="3">
        <v>46272</v>
      </c>
      <c r="C81" s="1" t="s">
        <v>137</v>
      </c>
      <c r="D81" s="1">
        <v>1</v>
      </c>
      <c r="E81" s="1" t="s">
        <v>8</v>
      </c>
      <c r="F81" s="1" t="s">
        <v>15</v>
      </c>
      <c r="G81" s="1" t="s">
        <v>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54" thickBot="1" x14ac:dyDescent="0.35">
      <c r="A82" s="1">
        <v>10</v>
      </c>
      <c r="B82" s="3">
        <v>46272</v>
      </c>
      <c r="C82" s="1" t="s">
        <v>138</v>
      </c>
      <c r="D82" s="1">
        <v>2</v>
      </c>
      <c r="E82" s="4" t="s">
        <v>139</v>
      </c>
      <c r="F82" s="1" t="s">
        <v>61</v>
      </c>
      <c r="G82" s="1" t="s">
        <v>140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7.6" thickBot="1" x14ac:dyDescent="0.35">
      <c r="A83" s="1">
        <v>11</v>
      </c>
      <c r="B83" s="3">
        <v>46272</v>
      </c>
      <c r="C83" s="1" t="s">
        <v>66</v>
      </c>
      <c r="D83" s="1">
        <v>1</v>
      </c>
      <c r="E83" s="1" t="s">
        <v>8</v>
      </c>
      <c r="F83" s="1" t="s">
        <v>67</v>
      </c>
      <c r="G83" s="1" t="s">
        <v>50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40.799999999999997" thickBot="1" x14ac:dyDescent="0.35">
      <c r="A84" s="1">
        <v>12</v>
      </c>
      <c r="B84" s="3">
        <v>46272</v>
      </c>
      <c r="C84" s="1" t="s">
        <v>141</v>
      </c>
      <c r="D84" s="1">
        <v>2</v>
      </c>
      <c r="E84" s="4" t="s">
        <v>142</v>
      </c>
      <c r="F84" s="1" t="s">
        <v>134</v>
      </c>
      <c r="G84" s="1" t="s">
        <v>115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35">
      <c r="A85" s="1">
        <v>13</v>
      </c>
      <c r="B85" s="3">
        <v>46272</v>
      </c>
      <c r="C85" s="1" t="s">
        <v>143</v>
      </c>
      <c r="D85" s="1">
        <v>1</v>
      </c>
      <c r="E85" s="4" t="s">
        <v>144</v>
      </c>
      <c r="F85" s="1" t="s">
        <v>4</v>
      </c>
      <c r="G85" s="1" t="s">
        <v>44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35">
      <c r="A86" s="1">
        <v>14</v>
      </c>
      <c r="B86" s="3">
        <v>46272</v>
      </c>
      <c r="C86" s="1" t="s">
        <v>145</v>
      </c>
      <c r="D86" s="1">
        <v>1</v>
      </c>
      <c r="E86" s="4" t="s">
        <v>146</v>
      </c>
      <c r="F86" s="1" t="s">
        <v>4</v>
      </c>
      <c r="G86" s="1" t="s">
        <v>44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35">
      <c r="A87" s="1">
        <v>15</v>
      </c>
      <c r="B87" s="3">
        <v>46272</v>
      </c>
      <c r="C87" s="1" t="s">
        <v>45</v>
      </c>
      <c r="D87" s="1">
        <v>1</v>
      </c>
      <c r="E87" s="1" t="s">
        <v>8</v>
      </c>
      <c r="F87" s="1" t="s">
        <v>15</v>
      </c>
      <c r="G87" s="1" t="s">
        <v>44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7.6" thickBot="1" x14ac:dyDescent="0.35">
      <c r="A88" s="1">
        <v>16</v>
      </c>
      <c r="B88" s="3">
        <v>46272</v>
      </c>
      <c r="C88" s="1" t="s">
        <v>45</v>
      </c>
      <c r="D88" s="1">
        <v>1</v>
      </c>
      <c r="E88" s="1" t="s">
        <v>8</v>
      </c>
      <c r="F88" s="1" t="s">
        <v>15</v>
      </c>
      <c r="G88" s="1" t="s">
        <v>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40.799999999999997" thickBot="1" x14ac:dyDescent="0.35">
      <c r="A89" s="1">
        <v>17</v>
      </c>
      <c r="B89" s="3">
        <v>46272</v>
      </c>
      <c r="C89" s="1" t="s">
        <v>45</v>
      </c>
      <c r="D89" s="1">
        <v>2</v>
      </c>
      <c r="E89" s="1" t="s">
        <v>8</v>
      </c>
      <c r="F89" s="1" t="s">
        <v>33</v>
      </c>
      <c r="G89" s="1" t="s">
        <v>147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7.6" thickBot="1" x14ac:dyDescent="0.35">
      <c r="A90" s="5">
        <v>18</v>
      </c>
      <c r="B90" s="6">
        <v>46272</v>
      </c>
      <c r="C90" s="5" t="s">
        <v>88</v>
      </c>
      <c r="D90" s="5">
        <v>1</v>
      </c>
      <c r="E90" s="10" t="s">
        <v>148</v>
      </c>
      <c r="F90" s="5" t="s">
        <v>4</v>
      </c>
      <c r="G90" s="5" t="s">
        <v>5</v>
      </c>
      <c r="H90" s="1">
        <v>26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7.6" thickBot="1" x14ac:dyDescent="0.35">
      <c r="A91" s="1">
        <v>1</v>
      </c>
      <c r="B91" s="3">
        <v>46273</v>
      </c>
      <c r="C91" s="1" t="s">
        <v>149</v>
      </c>
      <c r="D91" s="1">
        <v>2</v>
      </c>
      <c r="E91" s="1" t="s">
        <v>8</v>
      </c>
      <c r="F91" s="1" t="s">
        <v>9</v>
      </c>
      <c r="G91" s="1" t="s">
        <v>150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35">
      <c r="A92" s="1">
        <v>2</v>
      </c>
      <c r="B92" s="3">
        <v>46273</v>
      </c>
      <c r="C92" s="1" t="s">
        <v>151</v>
      </c>
      <c r="D92" s="1">
        <v>1</v>
      </c>
      <c r="E92" s="1" t="s">
        <v>8</v>
      </c>
      <c r="F92" s="1" t="s">
        <v>15</v>
      </c>
      <c r="G92" s="1" t="s">
        <v>152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7.6" thickBot="1" x14ac:dyDescent="0.35">
      <c r="A93" s="1">
        <v>3</v>
      </c>
      <c r="B93" s="3">
        <v>46273</v>
      </c>
      <c r="C93" s="1" t="s">
        <v>12</v>
      </c>
      <c r="D93" s="1">
        <v>4</v>
      </c>
      <c r="E93" s="1" t="s">
        <v>8</v>
      </c>
      <c r="F93" s="1" t="s">
        <v>41</v>
      </c>
      <c r="G93" s="1" t="s">
        <v>153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35">
      <c r="A94" s="1">
        <v>4</v>
      </c>
      <c r="B94" s="3">
        <v>46273</v>
      </c>
      <c r="C94" s="1" t="s">
        <v>154</v>
      </c>
      <c r="D94" s="1">
        <v>1</v>
      </c>
      <c r="E94" s="1" t="s">
        <v>8</v>
      </c>
      <c r="F94" s="1" t="s">
        <v>15</v>
      </c>
      <c r="G94" s="1" t="s">
        <v>152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54" thickBot="1" x14ac:dyDescent="0.35">
      <c r="A95" s="1">
        <v>5</v>
      </c>
      <c r="B95" s="3">
        <v>46273</v>
      </c>
      <c r="C95" s="1" t="s">
        <v>155</v>
      </c>
      <c r="D95" s="1">
        <v>2</v>
      </c>
      <c r="E95" s="9">
        <v>182611834</v>
      </c>
      <c r="F95" s="1" t="s">
        <v>61</v>
      </c>
      <c r="G95" s="1" t="s">
        <v>62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0.799999999999997" thickBot="1" x14ac:dyDescent="0.35">
      <c r="A96" s="1">
        <v>6</v>
      </c>
      <c r="B96" s="3">
        <v>46273</v>
      </c>
      <c r="C96" s="1" t="s">
        <v>156</v>
      </c>
      <c r="D96" s="1">
        <v>2</v>
      </c>
      <c r="E96" s="4" t="s">
        <v>157</v>
      </c>
      <c r="F96" s="1" t="s">
        <v>61</v>
      </c>
      <c r="G96" s="1" t="s">
        <v>34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54" thickBot="1" x14ac:dyDescent="0.35">
      <c r="A97" s="1">
        <v>7</v>
      </c>
      <c r="B97" s="3">
        <v>46273</v>
      </c>
      <c r="C97" s="1" t="s">
        <v>158</v>
      </c>
      <c r="D97" s="1">
        <v>7</v>
      </c>
      <c r="E97" s="1" t="s">
        <v>8</v>
      </c>
      <c r="F97" s="1" t="s">
        <v>159</v>
      </c>
      <c r="G97" s="1" t="s">
        <v>160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7.6" thickBot="1" x14ac:dyDescent="0.35">
      <c r="A98" s="1">
        <v>8</v>
      </c>
      <c r="B98" s="3">
        <v>46273</v>
      </c>
      <c r="C98" s="1" t="s">
        <v>161</v>
      </c>
      <c r="D98" s="1">
        <v>1</v>
      </c>
      <c r="E98" s="1" t="s">
        <v>8</v>
      </c>
      <c r="F98" s="1" t="s">
        <v>15</v>
      </c>
      <c r="G98" s="1" t="s">
        <v>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35">
      <c r="A99" s="1">
        <v>9</v>
      </c>
      <c r="B99" s="3">
        <v>46273</v>
      </c>
      <c r="C99" s="1" t="s">
        <v>162</v>
      </c>
      <c r="D99" s="1">
        <v>1</v>
      </c>
      <c r="E99" s="9">
        <v>182619038</v>
      </c>
      <c r="F99" s="1" t="s">
        <v>4</v>
      </c>
      <c r="G99" s="1" t="s">
        <v>44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7.6" thickBot="1" x14ac:dyDescent="0.35">
      <c r="A100" s="1">
        <v>10</v>
      </c>
      <c r="B100" s="3">
        <v>46273</v>
      </c>
      <c r="C100" s="1" t="s">
        <v>163</v>
      </c>
      <c r="D100" s="1">
        <v>1</v>
      </c>
      <c r="E100" s="4" t="s">
        <v>164</v>
      </c>
      <c r="F100" s="1" t="s">
        <v>4</v>
      </c>
      <c r="G100" s="1" t="s">
        <v>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35">
      <c r="A101" s="1">
        <v>11</v>
      </c>
      <c r="B101" s="3">
        <v>46273</v>
      </c>
      <c r="C101" s="1" t="s">
        <v>143</v>
      </c>
      <c r="D101" s="1">
        <v>1</v>
      </c>
      <c r="E101" s="4">
        <v>28990</v>
      </c>
      <c r="F101" s="1" t="s">
        <v>4</v>
      </c>
      <c r="G101" s="1" t="s">
        <v>44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7.6" thickBot="1" x14ac:dyDescent="0.35">
      <c r="A102" s="5">
        <v>12</v>
      </c>
      <c r="B102" s="6">
        <v>46273</v>
      </c>
      <c r="C102" s="5" t="s">
        <v>165</v>
      </c>
      <c r="D102" s="5">
        <v>1</v>
      </c>
      <c r="E102" s="10" t="s">
        <v>166</v>
      </c>
      <c r="F102" s="5" t="s">
        <v>4</v>
      </c>
      <c r="G102" s="5" t="s">
        <v>5</v>
      </c>
      <c r="H102" s="1">
        <v>24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8.2" thickBot="1" x14ac:dyDescent="0.4">
      <c r="A103" s="1">
        <v>1</v>
      </c>
      <c r="B103" s="3">
        <v>46274</v>
      </c>
      <c r="C103" s="1" t="s">
        <v>12</v>
      </c>
      <c r="D103" s="1">
        <v>8</v>
      </c>
      <c r="E103" s="13" t="s">
        <v>8</v>
      </c>
      <c r="F103" s="1" t="s">
        <v>41</v>
      </c>
      <c r="G103" s="1" t="s">
        <v>153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 s="1">
        <v>2</v>
      </c>
      <c r="B104" s="3">
        <v>46274</v>
      </c>
      <c r="C104" s="1" t="s">
        <v>167</v>
      </c>
      <c r="D104" s="1">
        <v>1</v>
      </c>
      <c r="E104" s="4" t="s">
        <v>168</v>
      </c>
      <c r="F104" s="1" t="s">
        <v>4</v>
      </c>
      <c r="G104" s="1" t="s">
        <v>44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7.6" thickBot="1" x14ac:dyDescent="0.35">
      <c r="A105" s="1">
        <v>3</v>
      </c>
      <c r="B105" s="3">
        <v>46274</v>
      </c>
      <c r="C105" s="1" t="s">
        <v>169</v>
      </c>
      <c r="D105" s="1">
        <v>1</v>
      </c>
      <c r="E105" s="1" t="s">
        <v>8</v>
      </c>
      <c r="F105" s="1" t="s">
        <v>15</v>
      </c>
      <c r="G105" s="1" t="s">
        <v>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7.6" thickBot="1" x14ac:dyDescent="0.35">
      <c r="A106" s="1">
        <v>4</v>
      </c>
      <c r="B106" s="3">
        <v>46274</v>
      </c>
      <c r="C106" s="1" t="s">
        <v>170</v>
      </c>
      <c r="D106" s="1">
        <v>1</v>
      </c>
      <c r="E106" s="1" t="s">
        <v>8</v>
      </c>
      <c r="F106" s="1" t="s">
        <v>15</v>
      </c>
      <c r="G106" s="1" t="s">
        <v>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54" thickBot="1" x14ac:dyDescent="0.35">
      <c r="A107" s="1">
        <v>5</v>
      </c>
      <c r="B107" s="3">
        <v>46274</v>
      </c>
      <c r="C107" s="1" t="s">
        <v>171</v>
      </c>
      <c r="D107" s="1">
        <v>2</v>
      </c>
      <c r="E107" s="1" t="s">
        <v>8</v>
      </c>
      <c r="F107" s="1" t="s">
        <v>33</v>
      </c>
      <c r="G107" s="1" t="s">
        <v>62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7.6" thickBot="1" x14ac:dyDescent="0.35">
      <c r="A108" s="1">
        <v>6</v>
      </c>
      <c r="B108" s="3">
        <v>46274</v>
      </c>
      <c r="C108" s="1" t="s">
        <v>172</v>
      </c>
      <c r="D108" s="1">
        <v>1</v>
      </c>
      <c r="E108" s="1" t="s">
        <v>8</v>
      </c>
      <c r="F108" s="1" t="s">
        <v>15</v>
      </c>
      <c r="G108" s="1" t="s">
        <v>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0.799999999999997" thickBot="1" x14ac:dyDescent="0.35">
      <c r="A109" s="1">
        <v>7</v>
      </c>
      <c r="B109" s="3">
        <v>46274</v>
      </c>
      <c r="C109" s="1" t="s">
        <v>155</v>
      </c>
      <c r="D109" s="1">
        <v>2</v>
      </c>
      <c r="E109" s="9">
        <v>182648832</v>
      </c>
      <c r="F109" s="1" t="s">
        <v>61</v>
      </c>
      <c r="G109" s="1" t="s">
        <v>34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6" thickBot="1" x14ac:dyDescent="0.4">
      <c r="A110" s="1">
        <v>8</v>
      </c>
      <c r="B110" s="3">
        <v>46274</v>
      </c>
      <c r="C110" s="1" t="s">
        <v>173</v>
      </c>
      <c r="D110" s="1">
        <v>1</v>
      </c>
      <c r="E110" s="14">
        <v>182650321</v>
      </c>
      <c r="F110" s="1" t="s">
        <v>4</v>
      </c>
      <c r="G110" s="1" t="s">
        <v>44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7.6" thickBot="1" x14ac:dyDescent="0.35">
      <c r="A111" s="1">
        <v>9</v>
      </c>
      <c r="B111" s="3">
        <v>46274</v>
      </c>
      <c r="C111" s="1" t="s">
        <v>161</v>
      </c>
      <c r="D111" s="1">
        <v>1</v>
      </c>
      <c r="E111" s="1" t="s">
        <v>8</v>
      </c>
      <c r="F111" s="1" t="s">
        <v>15</v>
      </c>
      <c r="G111" s="1" t="s">
        <v>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7.6" thickBot="1" x14ac:dyDescent="0.35">
      <c r="A112" s="1">
        <v>10</v>
      </c>
      <c r="B112" s="3">
        <v>46274</v>
      </c>
      <c r="C112" s="1" t="s">
        <v>19</v>
      </c>
      <c r="D112" s="1">
        <v>2</v>
      </c>
      <c r="E112" s="4" t="s">
        <v>174</v>
      </c>
      <c r="F112" s="1" t="s">
        <v>4</v>
      </c>
      <c r="G112" s="1" t="s">
        <v>175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7.6" thickBot="1" x14ac:dyDescent="0.35">
      <c r="A113" s="1">
        <v>11</v>
      </c>
      <c r="B113" s="3">
        <v>46274</v>
      </c>
      <c r="C113" s="1" t="s">
        <v>176</v>
      </c>
      <c r="D113" s="1">
        <v>1</v>
      </c>
      <c r="E113" s="4" t="s">
        <v>177</v>
      </c>
      <c r="F113" s="1" t="s">
        <v>49</v>
      </c>
      <c r="G113" s="1" t="s">
        <v>50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7.6" thickBot="1" x14ac:dyDescent="0.35">
      <c r="A114" s="1">
        <v>12</v>
      </c>
      <c r="B114" s="3">
        <v>46274</v>
      </c>
      <c r="C114" s="1" t="s">
        <v>143</v>
      </c>
      <c r="D114" s="1">
        <v>1</v>
      </c>
      <c r="E114" s="4" t="s">
        <v>178</v>
      </c>
      <c r="F114" s="1" t="s">
        <v>4</v>
      </c>
      <c r="G114" s="1" t="s">
        <v>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0.799999999999997" thickBot="1" x14ac:dyDescent="0.35">
      <c r="A115" s="1">
        <v>13</v>
      </c>
      <c r="B115" s="3">
        <v>46274</v>
      </c>
      <c r="C115" s="1" t="s">
        <v>63</v>
      </c>
      <c r="D115" s="1">
        <v>2</v>
      </c>
      <c r="E115" s="4" t="s">
        <v>179</v>
      </c>
      <c r="F115" s="1" t="s">
        <v>134</v>
      </c>
      <c r="G115" s="1" t="s">
        <v>180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7.6" thickBot="1" x14ac:dyDescent="0.35">
      <c r="A116" s="1">
        <v>14</v>
      </c>
      <c r="B116" s="3">
        <v>46274</v>
      </c>
      <c r="C116" s="1" t="s">
        <v>163</v>
      </c>
      <c r="D116" s="1">
        <v>1</v>
      </c>
      <c r="E116" s="4" t="s">
        <v>181</v>
      </c>
      <c r="F116" s="1" t="s">
        <v>4</v>
      </c>
      <c r="G116" s="1" t="s">
        <v>44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35">
      <c r="A117" s="1">
        <v>15</v>
      </c>
      <c r="B117" s="3">
        <v>46274</v>
      </c>
      <c r="C117" s="1" t="s">
        <v>182</v>
      </c>
      <c r="D117" s="1">
        <v>1</v>
      </c>
      <c r="E117" s="4" t="s">
        <v>183</v>
      </c>
      <c r="F117" s="1" t="s">
        <v>4</v>
      </c>
      <c r="G117" s="1" t="s">
        <v>44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7.6" thickBot="1" x14ac:dyDescent="0.35">
      <c r="A118" s="1">
        <v>16</v>
      </c>
      <c r="B118" s="3">
        <v>46274</v>
      </c>
      <c r="C118" s="1" t="s">
        <v>111</v>
      </c>
      <c r="D118" s="1">
        <v>1</v>
      </c>
      <c r="E118" s="4" t="s">
        <v>184</v>
      </c>
      <c r="F118" s="1" t="s">
        <v>4</v>
      </c>
      <c r="G118" s="1" t="s">
        <v>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7.6" thickBot="1" x14ac:dyDescent="0.35">
      <c r="A119" s="5">
        <v>17</v>
      </c>
      <c r="B119" s="6">
        <v>46274</v>
      </c>
      <c r="C119" s="5" t="s">
        <v>66</v>
      </c>
      <c r="D119" s="5">
        <v>1</v>
      </c>
      <c r="E119" s="5" t="s">
        <v>8</v>
      </c>
      <c r="F119" s="5" t="s">
        <v>15</v>
      </c>
      <c r="G119" s="5" t="s">
        <v>5</v>
      </c>
      <c r="H119" s="1">
        <v>28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40.799999999999997" thickBot="1" x14ac:dyDescent="0.35">
      <c r="A120" s="1">
        <v>1</v>
      </c>
      <c r="B120" s="3">
        <v>46276</v>
      </c>
      <c r="C120" s="1" t="s">
        <v>185</v>
      </c>
      <c r="D120" s="1">
        <v>2</v>
      </c>
      <c r="E120" s="4" t="s">
        <v>186</v>
      </c>
      <c r="F120" s="1" t="s">
        <v>134</v>
      </c>
      <c r="G120" s="1" t="s">
        <v>115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0.799999999999997" thickBot="1" x14ac:dyDescent="0.35">
      <c r="A121" s="1">
        <v>2</v>
      </c>
      <c r="B121" s="3">
        <v>46276</v>
      </c>
      <c r="C121" s="1" t="s">
        <v>12</v>
      </c>
      <c r="D121" s="1">
        <v>10</v>
      </c>
      <c r="E121" s="1" t="s">
        <v>8</v>
      </c>
      <c r="F121" s="1" t="s">
        <v>187</v>
      </c>
      <c r="G121" s="1" t="s">
        <v>102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7.6" thickBot="1" x14ac:dyDescent="0.35">
      <c r="A122" s="1">
        <v>3</v>
      </c>
      <c r="B122" s="3">
        <v>46276</v>
      </c>
      <c r="C122" s="1" t="s">
        <v>36</v>
      </c>
      <c r="D122" s="1">
        <v>1</v>
      </c>
      <c r="E122" s="4" t="s">
        <v>188</v>
      </c>
      <c r="F122" s="1" t="s">
        <v>4</v>
      </c>
      <c r="G122" s="1" t="s">
        <v>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7.6" thickBot="1" x14ac:dyDescent="0.35">
      <c r="A123" s="1">
        <v>4</v>
      </c>
      <c r="B123" s="3">
        <v>46276</v>
      </c>
      <c r="C123" s="1" t="s">
        <v>189</v>
      </c>
      <c r="D123" s="1">
        <v>1</v>
      </c>
      <c r="E123" s="4" t="s">
        <v>190</v>
      </c>
      <c r="F123" s="1" t="s">
        <v>4</v>
      </c>
      <c r="G123" s="1" t="s">
        <v>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7.6" thickBot="1" x14ac:dyDescent="0.35">
      <c r="A124" s="1">
        <v>5</v>
      </c>
      <c r="B124" s="3">
        <v>46276</v>
      </c>
      <c r="C124" s="1" t="s">
        <v>191</v>
      </c>
      <c r="D124" s="1">
        <v>2</v>
      </c>
      <c r="E124" s="4" t="s">
        <v>192</v>
      </c>
      <c r="F124" s="1" t="s">
        <v>83</v>
      </c>
      <c r="G124" s="1" t="s">
        <v>193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7.6" thickBot="1" x14ac:dyDescent="0.35">
      <c r="A125" s="1">
        <v>6</v>
      </c>
      <c r="B125" s="3">
        <v>46276</v>
      </c>
      <c r="C125" s="1" t="s">
        <v>194</v>
      </c>
      <c r="D125" s="1">
        <v>1</v>
      </c>
      <c r="E125" s="4" t="s">
        <v>195</v>
      </c>
      <c r="F125" s="1" t="s">
        <v>4</v>
      </c>
      <c r="G125" s="1" t="s">
        <v>5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7.6" thickBot="1" x14ac:dyDescent="0.35">
      <c r="A126" s="1">
        <v>7</v>
      </c>
      <c r="B126" s="3">
        <v>46276</v>
      </c>
      <c r="C126" s="1" t="s">
        <v>69</v>
      </c>
      <c r="D126" s="1">
        <v>1</v>
      </c>
      <c r="E126" s="4" t="s">
        <v>196</v>
      </c>
      <c r="F126" s="1" t="s">
        <v>4</v>
      </c>
      <c r="G126" s="1" t="s">
        <v>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7.6" thickBot="1" x14ac:dyDescent="0.35">
      <c r="A127" s="1">
        <v>8</v>
      </c>
      <c r="B127" s="3">
        <v>46276</v>
      </c>
      <c r="C127" s="1" t="s">
        <v>76</v>
      </c>
      <c r="D127" s="1">
        <v>1</v>
      </c>
      <c r="E127" s="4" t="s">
        <v>197</v>
      </c>
      <c r="F127" s="1" t="s">
        <v>4</v>
      </c>
      <c r="G127" s="1" t="s">
        <v>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7.6" thickBot="1" x14ac:dyDescent="0.35">
      <c r="A128" s="1">
        <v>9</v>
      </c>
      <c r="B128" s="3">
        <v>46276</v>
      </c>
      <c r="C128" s="1" t="s">
        <v>198</v>
      </c>
      <c r="D128" s="1">
        <v>3</v>
      </c>
      <c r="E128" s="4" t="s">
        <v>199</v>
      </c>
      <c r="F128" s="1" t="s">
        <v>97</v>
      </c>
      <c r="G128" s="1" t="s">
        <v>200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7.6" thickBot="1" x14ac:dyDescent="0.35">
      <c r="A129" s="1">
        <v>10</v>
      </c>
      <c r="B129" s="3">
        <v>46276</v>
      </c>
      <c r="C129" s="1" t="s">
        <v>169</v>
      </c>
      <c r="D129" s="1">
        <v>1</v>
      </c>
      <c r="E129" s="1" t="s">
        <v>8</v>
      </c>
      <c r="F129" s="1" t="s">
        <v>15</v>
      </c>
      <c r="G129" s="1" t="s">
        <v>5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7.6" thickBot="1" x14ac:dyDescent="0.35">
      <c r="A130" s="1">
        <v>11</v>
      </c>
      <c r="B130" s="3">
        <v>46276</v>
      </c>
      <c r="C130" s="1" t="s">
        <v>201</v>
      </c>
      <c r="D130" s="1">
        <v>2</v>
      </c>
      <c r="E130" s="4" t="s">
        <v>202</v>
      </c>
      <c r="F130" s="1" t="s">
        <v>83</v>
      </c>
      <c r="G130" s="1" t="s">
        <v>203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7.6" thickBot="1" x14ac:dyDescent="0.35">
      <c r="A131" s="5">
        <v>12</v>
      </c>
      <c r="B131" s="6">
        <v>46276</v>
      </c>
      <c r="C131" s="5" t="s">
        <v>204</v>
      </c>
      <c r="D131" s="5">
        <v>1</v>
      </c>
      <c r="E131" s="10" t="s">
        <v>205</v>
      </c>
      <c r="F131" s="5" t="s">
        <v>4</v>
      </c>
      <c r="G131" s="5" t="s">
        <v>5</v>
      </c>
      <c r="H131" s="1">
        <v>26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35">
      <c r="A133" s="15" t="s">
        <v>206</v>
      </c>
      <c r="B133" s="12"/>
      <c r="C133" s="12"/>
      <c r="D133" s="12"/>
      <c r="E133" s="12"/>
      <c r="F133" s="12"/>
      <c r="G133" s="1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0.799999999999997" thickBot="1" x14ac:dyDescent="0.35">
      <c r="A134" s="1">
        <v>1</v>
      </c>
      <c r="B134" s="3">
        <v>46279</v>
      </c>
      <c r="C134" s="1" t="s">
        <v>143</v>
      </c>
      <c r="D134" s="1">
        <v>2</v>
      </c>
      <c r="E134" s="4" t="s">
        <v>207</v>
      </c>
      <c r="F134" s="1" t="s">
        <v>83</v>
      </c>
      <c r="G134" s="1" t="s">
        <v>84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40.799999999999997" thickBot="1" x14ac:dyDescent="0.35">
      <c r="A135" s="1">
        <v>2</v>
      </c>
      <c r="B135" s="3">
        <v>46279</v>
      </c>
      <c r="C135" s="1" t="s">
        <v>12</v>
      </c>
      <c r="D135" s="1">
        <v>6</v>
      </c>
      <c r="E135" s="1" t="s">
        <v>8</v>
      </c>
      <c r="F135" s="1" t="s">
        <v>208</v>
      </c>
      <c r="G135" s="1" t="s">
        <v>209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35">
      <c r="A136" s="1">
        <v>3</v>
      </c>
      <c r="B136" s="3">
        <v>46279</v>
      </c>
      <c r="C136" s="1" t="s">
        <v>36</v>
      </c>
      <c r="D136" s="1">
        <v>1</v>
      </c>
      <c r="E136" s="4" t="s">
        <v>210</v>
      </c>
      <c r="F136" s="1" t="s">
        <v>4</v>
      </c>
      <c r="G136" s="1" t="s">
        <v>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7.6" thickBot="1" x14ac:dyDescent="0.35">
      <c r="A137" s="1">
        <v>4</v>
      </c>
      <c r="B137" s="3">
        <v>46279</v>
      </c>
      <c r="C137" s="1" t="s">
        <v>211</v>
      </c>
      <c r="D137" s="1">
        <v>1</v>
      </c>
      <c r="E137" s="4" t="s">
        <v>212</v>
      </c>
      <c r="F137" s="1" t="s">
        <v>4</v>
      </c>
      <c r="G137" s="1" t="s">
        <v>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7.6" thickBot="1" x14ac:dyDescent="0.35">
      <c r="A138" s="1">
        <v>5</v>
      </c>
      <c r="B138" s="3">
        <v>46279</v>
      </c>
      <c r="C138" s="1" t="s">
        <v>213</v>
      </c>
      <c r="D138" s="1">
        <v>1</v>
      </c>
      <c r="E138" s="9">
        <v>182830182</v>
      </c>
      <c r="F138" s="1" t="s">
        <v>4</v>
      </c>
      <c r="G138" s="1" t="s">
        <v>5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7.6" thickBot="1" x14ac:dyDescent="0.35">
      <c r="A139" s="1">
        <v>6</v>
      </c>
      <c r="B139" s="3">
        <v>46279</v>
      </c>
      <c r="C139" s="1" t="s">
        <v>91</v>
      </c>
      <c r="D139" s="1">
        <v>1</v>
      </c>
      <c r="E139" s="1" t="s">
        <v>8</v>
      </c>
      <c r="F139" s="1" t="s">
        <v>15</v>
      </c>
      <c r="G139" s="1" t="s">
        <v>5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54" thickBot="1" x14ac:dyDescent="0.35">
      <c r="A140" s="1">
        <v>7</v>
      </c>
      <c r="B140" s="3">
        <v>46279</v>
      </c>
      <c r="C140" s="1" t="s">
        <v>155</v>
      </c>
      <c r="D140" s="1">
        <v>4</v>
      </c>
      <c r="E140" s="9">
        <v>182830938</v>
      </c>
      <c r="F140" s="1" t="s">
        <v>214</v>
      </c>
      <c r="G140" s="1" t="s">
        <v>215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7.6" thickBot="1" x14ac:dyDescent="0.35">
      <c r="A141" s="1">
        <v>8</v>
      </c>
      <c r="B141" s="3">
        <v>46279</v>
      </c>
      <c r="C141" s="1" t="s">
        <v>161</v>
      </c>
      <c r="D141" s="1">
        <v>1</v>
      </c>
      <c r="E141" s="1" t="s">
        <v>8</v>
      </c>
      <c r="F141" s="1" t="s">
        <v>15</v>
      </c>
      <c r="G141" s="1" t="s">
        <v>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0.799999999999997" thickBot="1" x14ac:dyDescent="0.35">
      <c r="A142" s="1">
        <v>9</v>
      </c>
      <c r="B142" s="3">
        <v>46279</v>
      </c>
      <c r="C142" s="1" t="s">
        <v>216</v>
      </c>
      <c r="D142" s="1">
        <v>2</v>
      </c>
      <c r="E142" s="1" t="s">
        <v>217</v>
      </c>
      <c r="F142" s="1" t="s">
        <v>9</v>
      </c>
      <c r="G142" s="1" t="s">
        <v>84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40.799999999999997" thickBot="1" x14ac:dyDescent="0.35">
      <c r="A143" s="1">
        <v>10</v>
      </c>
      <c r="B143" s="3">
        <v>46279</v>
      </c>
      <c r="C143" s="1" t="s">
        <v>218</v>
      </c>
      <c r="D143" s="1">
        <v>2</v>
      </c>
      <c r="E143" s="4" t="s">
        <v>219</v>
      </c>
      <c r="F143" s="1" t="s">
        <v>134</v>
      </c>
      <c r="G143" s="1" t="s">
        <v>115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7.6" thickBot="1" x14ac:dyDescent="0.35">
      <c r="A144" s="1">
        <v>11</v>
      </c>
      <c r="B144" s="3">
        <v>46279</v>
      </c>
      <c r="C144" s="1" t="s">
        <v>66</v>
      </c>
      <c r="D144" s="1">
        <v>1</v>
      </c>
      <c r="E144" s="1" t="s">
        <v>8</v>
      </c>
      <c r="F144" s="1" t="s">
        <v>15</v>
      </c>
      <c r="G144" s="1" t="s">
        <v>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7.6" thickBot="1" x14ac:dyDescent="0.35">
      <c r="A145" s="1">
        <v>12</v>
      </c>
      <c r="B145" s="3">
        <v>46279</v>
      </c>
      <c r="C145" s="1" t="s">
        <v>110</v>
      </c>
      <c r="D145" s="1">
        <v>1</v>
      </c>
      <c r="E145" s="1" t="s">
        <v>8</v>
      </c>
      <c r="F145" s="1" t="s">
        <v>15</v>
      </c>
      <c r="G145" s="1" t="s">
        <v>5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35">
      <c r="A146" s="1">
        <v>13</v>
      </c>
      <c r="B146" s="3">
        <v>46279</v>
      </c>
      <c r="C146" s="1" t="s">
        <v>45</v>
      </c>
      <c r="D146" s="1">
        <v>1</v>
      </c>
      <c r="E146" s="1" t="s">
        <v>8</v>
      </c>
      <c r="F146" s="1" t="s">
        <v>15</v>
      </c>
      <c r="G146" s="1" t="s">
        <v>44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7.6" thickBot="1" x14ac:dyDescent="0.35">
      <c r="A147" s="1">
        <v>14</v>
      </c>
      <c r="B147" s="3">
        <v>46279</v>
      </c>
      <c r="C147" s="1" t="s">
        <v>45</v>
      </c>
      <c r="D147" s="1">
        <v>1</v>
      </c>
      <c r="E147" s="1" t="s">
        <v>8</v>
      </c>
      <c r="F147" s="1" t="s">
        <v>67</v>
      </c>
      <c r="G147" s="1" t="s">
        <v>50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35">
      <c r="A148" s="5">
        <v>15</v>
      </c>
      <c r="B148" s="6">
        <v>46279</v>
      </c>
      <c r="C148" s="5" t="s">
        <v>220</v>
      </c>
      <c r="D148" s="5">
        <v>1</v>
      </c>
      <c r="E148" s="5" t="s">
        <v>8</v>
      </c>
      <c r="F148" s="5" t="s">
        <v>15</v>
      </c>
      <c r="G148" s="5" t="s">
        <v>44</v>
      </c>
      <c r="H148" s="1">
        <v>26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7.6" thickBot="1" x14ac:dyDescent="0.35">
      <c r="A149" s="1">
        <v>1</v>
      </c>
      <c r="B149" s="3">
        <v>46280</v>
      </c>
      <c r="C149" s="1" t="s">
        <v>169</v>
      </c>
      <c r="D149" s="1">
        <v>1</v>
      </c>
      <c r="E149" s="1" t="s">
        <v>8</v>
      </c>
      <c r="F149" s="1" t="s">
        <v>15</v>
      </c>
      <c r="G149" s="1" t="s">
        <v>5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40.799999999999997" thickBot="1" x14ac:dyDescent="0.35">
      <c r="A150" s="1">
        <v>2</v>
      </c>
      <c r="B150" s="3">
        <v>46280</v>
      </c>
      <c r="C150" s="1" t="s">
        <v>12</v>
      </c>
      <c r="D150" s="1">
        <v>4</v>
      </c>
      <c r="E150" s="1" t="s">
        <v>8</v>
      </c>
      <c r="F150" s="1" t="s">
        <v>41</v>
      </c>
      <c r="G150" s="1" t="s">
        <v>42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7.6" thickBot="1" x14ac:dyDescent="0.35">
      <c r="A151" s="1">
        <v>3</v>
      </c>
      <c r="B151" s="3">
        <v>46280</v>
      </c>
      <c r="C151" s="1" t="s">
        <v>221</v>
      </c>
      <c r="D151" s="1">
        <v>1</v>
      </c>
      <c r="E151" s="1" t="s">
        <v>8</v>
      </c>
      <c r="F151" s="1" t="s">
        <v>15</v>
      </c>
      <c r="G151" s="1" t="s">
        <v>44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7.6" thickBot="1" x14ac:dyDescent="0.35">
      <c r="A152" s="1">
        <v>4</v>
      </c>
      <c r="B152" s="3">
        <v>46280</v>
      </c>
      <c r="C152" s="1" t="s">
        <v>81</v>
      </c>
      <c r="D152" s="1">
        <v>2</v>
      </c>
      <c r="E152" s="1" t="s">
        <v>8</v>
      </c>
      <c r="F152" s="1" t="s">
        <v>9</v>
      </c>
      <c r="G152" s="1" t="s">
        <v>28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67.2" thickBot="1" x14ac:dyDescent="0.35">
      <c r="A153" s="1">
        <v>5</v>
      </c>
      <c r="B153" s="3">
        <v>46280</v>
      </c>
      <c r="C153" s="1" t="s">
        <v>204</v>
      </c>
      <c r="D153" s="1">
        <v>3</v>
      </c>
      <c r="E153" s="4" t="s">
        <v>222</v>
      </c>
      <c r="F153" s="1" t="s">
        <v>223</v>
      </c>
      <c r="G153" s="1" t="s">
        <v>224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54" thickBot="1" x14ac:dyDescent="0.35">
      <c r="A154" s="1">
        <v>6</v>
      </c>
      <c r="B154" s="3">
        <v>46280</v>
      </c>
      <c r="C154" s="1" t="s">
        <v>225</v>
      </c>
      <c r="D154" s="1">
        <v>5</v>
      </c>
      <c r="E154" s="1" t="s">
        <v>8</v>
      </c>
      <c r="F154" s="1" t="s">
        <v>226</v>
      </c>
      <c r="G154" s="1" t="s">
        <v>227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54" thickBot="1" x14ac:dyDescent="0.35">
      <c r="A155" s="1">
        <v>7</v>
      </c>
      <c r="B155" s="3">
        <v>46280</v>
      </c>
      <c r="C155" s="1" t="s">
        <v>201</v>
      </c>
      <c r="D155" s="1">
        <v>3</v>
      </c>
      <c r="E155" s="4" t="s">
        <v>228</v>
      </c>
      <c r="F155" s="1" t="s">
        <v>229</v>
      </c>
      <c r="G155" s="1" t="s">
        <v>230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7.6" thickBot="1" x14ac:dyDescent="0.35">
      <c r="A156" s="1">
        <v>8</v>
      </c>
      <c r="B156" s="3">
        <v>46280</v>
      </c>
      <c r="C156" s="1" t="s">
        <v>231</v>
      </c>
      <c r="D156" s="1">
        <v>1</v>
      </c>
      <c r="E156" s="4" t="s">
        <v>232</v>
      </c>
      <c r="F156" s="1" t="s">
        <v>4</v>
      </c>
      <c r="G156" s="1" t="s">
        <v>5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7.6" thickBot="1" x14ac:dyDescent="0.35">
      <c r="A157" s="1">
        <v>9</v>
      </c>
      <c r="B157" s="3">
        <v>46280</v>
      </c>
      <c r="C157" s="1" t="s">
        <v>59</v>
      </c>
      <c r="D157" s="1">
        <v>1</v>
      </c>
      <c r="E157" s="4" t="s">
        <v>233</v>
      </c>
      <c r="F157" s="1" t="s">
        <v>4</v>
      </c>
      <c r="G157" s="1" t="s">
        <v>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54" thickBot="1" x14ac:dyDescent="0.35">
      <c r="A158" s="1">
        <v>10</v>
      </c>
      <c r="B158" s="3">
        <v>46280</v>
      </c>
      <c r="C158" s="1" t="s">
        <v>138</v>
      </c>
      <c r="D158" s="1">
        <v>2</v>
      </c>
      <c r="E158" s="4" t="s">
        <v>234</v>
      </c>
      <c r="F158" s="1" t="s">
        <v>61</v>
      </c>
      <c r="G158" s="1" t="s">
        <v>62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7.6" thickBot="1" x14ac:dyDescent="0.35">
      <c r="A159" s="1">
        <v>11</v>
      </c>
      <c r="B159" s="3">
        <v>46280</v>
      </c>
      <c r="C159" s="1" t="s">
        <v>149</v>
      </c>
      <c r="D159" s="1">
        <v>1</v>
      </c>
      <c r="E159" s="4" t="s">
        <v>235</v>
      </c>
      <c r="F159" s="1" t="s">
        <v>4</v>
      </c>
      <c r="G159" s="1" t="s">
        <v>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35">
      <c r="A160" s="1">
        <v>12</v>
      </c>
      <c r="B160" s="3">
        <v>46280</v>
      </c>
      <c r="C160" s="1" t="s">
        <v>162</v>
      </c>
      <c r="D160" s="1">
        <v>1</v>
      </c>
      <c r="E160" s="9">
        <v>182880036</v>
      </c>
      <c r="F160" s="1" t="s">
        <v>236</v>
      </c>
      <c r="G160" s="1" t="s">
        <v>44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7.6" thickBot="1" x14ac:dyDescent="0.35">
      <c r="A161" s="1">
        <v>13</v>
      </c>
      <c r="B161" s="3">
        <v>46280</v>
      </c>
      <c r="C161" s="1" t="s">
        <v>45</v>
      </c>
      <c r="D161" s="1">
        <v>1</v>
      </c>
      <c r="E161" s="1" t="s">
        <v>8</v>
      </c>
      <c r="F161" s="1" t="s">
        <v>67</v>
      </c>
      <c r="G161" s="1" t="s">
        <v>50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7.6" thickBot="1" x14ac:dyDescent="0.35">
      <c r="A162" s="5">
        <v>14</v>
      </c>
      <c r="B162" s="6">
        <v>46280</v>
      </c>
      <c r="C162" s="5" t="s">
        <v>237</v>
      </c>
      <c r="D162" s="5">
        <v>2</v>
      </c>
      <c r="E162" s="10" t="s">
        <v>238</v>
      </c>
      <c r="F162" s="5" t="s">
        <v>83</v>
      </c>
      <c r="G162" s="5" t="s">
        <v>193</v>
      </c>
      <c r="H162" s="1">
        <v>28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67.2" thickBot="1" x14ac:dyDescent="0.35">
      <c r="A163" s="1">
        <v>1</v>
      </c>
      <c r="B163" s="3">
        <v>46281</v>
      </c>
      <c r="C163" s="1" t="s">
        <v>12</v>
      </c>
      <c r="D163" s="1">
        <v>6</v>
      </c>
      <c r="E163" s="1" t="s">
        <v>8</v>
      </c>
      <c r="F163" s="1" t="s">
        <v>208</v>
      </c>
      <c r="G163" s="1" t="s">
        <v>239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0.799999999999997" thickBot="1" x14ac:dyDescent="0.35">
      <c r="A164" s="1">
        <v>2</v>
      </c>
      <c r="B164" s="3">
        <v>46281</v>
      </c>
      <c r="C164" s="1" t="s">
        <v>19</v>
      </c>
      <c r="D164" s="1">
        <v>2</v>
      </c>
      <c r="E164" s="4" t="s">
        <v>240</v>
      </c>
      <c r="F164" s="1" t="s">
        <v>83</v>
      </c>
      <c r="G164" s="1" t="s">
        <v>84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67.2" thickBot="1" x14ac:dyDescent="0.35">
      <c r="A165" s="1">
        <v>3</v>
      </c>
      <c r="B165" s="3">
        <v>46281</v>
      </c>
      <c r="C165" s="1" t="s">
        <v>225</v>
      </c>
      <c r="D165" s="1">
        <v>4</v>
      </c>
      <c r="E165" s="1" t="s">
        <v>8</v>
      </c>
      <c r="F165" s="1" t="s">
        <v>241</v>
      </c>
      <c r="G165" s="1" t="s">
        <v>242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7.6" thickBot="1" x14ac:dyDescent="0.35">
      <c r="A166" s="1">
        <v>4</v>
      </c>
      <c r="B166" s="3">
        <v>46281</v>
      </c>
      <c r="C166" s="1" t="s">
        <v>243</v>
      </c>
      <c r="D166" s="1">
        <v>1</v>
      </c>
      <c r="E166" s="4" t="s">
        <v>244</v>
      </c>
      <c r="F166" s="1" t="s">
        <v>4</v>
      </c>
      <c r="G166" s="1" t="s">
        <v>44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35">
      <c r="A167" s="1">
        <v>5</v>
      </c>
      <c r="B167" s="3">
        <v>46281</v>
      </c>
      <c r="C167" s="1" t="s">
        <v>245</v>
      </c>
      <c r="D167" s="1">
        <v>1</v>
      </c>
      <c r="E167" s="1" t="s">
        <v>8</v>
      </c>
      <c r="F167" s="1" t="s">
        <v>67</v>
      </c>
      <c r="G167" s="1" t="s">
        <v>90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7.6" thickBot="1" x14ac:dyDescent="0.35">
      <c r="A168" s="1">
        <v>6</v>
      </c>
      <c r="B168" s="3">
        <v>46281</v>
      </c>
      <c r="C168" s="1" t="s">
        <v>104</v>
      </c>
      <c r="D168" s="1">
        <v>1</v>
      </c>
      <c r="E168" s="4" t="s">
        <v>246</v>
      </c>
      <c r="F168" s="1" t="s">
        <v>4</v>
      </c>
      <c r="G168" s="1" t="s">
        <v>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35">
      <c r="A169" s="1">
        <v>7</v>
      </c>
      <c r="B169" s="3">
        <v>46281</v>
      </c>
      <c r="C169" s="1" t="s">
        <v>167</v>
      </c>
      <c r="D169" s="1">
        <v>1</v>
      </c>
      <c r="E169" s="4">
        <v>81039</v>
      </c>
      <c r="F169" s="1" t="s">
        <v>4</v>
      </c>
      <c r="G169" s="1" t="s">
        <v>44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54" thickBot="1" x14ac:dyDescent="0.35">
      <c r="A170" s="1">
        <v>8</v>
      </c>
      <c r="B170" s="3">
        <v>46281</v>
      </c>
      <c r="C170" s="1" t="s">
        <v>111</v>
      </c>
      <c r="D170" s="1">
        <v>2</v>
      </c>
      <c r="E170" s="4" t="s">
        <v>247</v>
      </c>
      <c r="F170" s="1" t="s">
        <v>61</v>
      </c>
      <c r="G170" s="1" t="s">
        <v>248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7.6" thickBot="1" x14ac:dyDescent="0.35">
      <c r="A171" s="1">
        <v>9</v>
      </c>
      <c r="B171" s="3">
        <v>46281</v>
      </c>
      <c r="C171" s="1" t="s">
        <v>161</v>
      </c>
      <c r="D171" s="1">
        <v>1</v>
      </c>
      <c r="E171" s="1" t="s">
        <v>8</v>
      </c>
      <c r="F171" s="1" t="s">
        <v>15</v>
      </c>
      <c r="G171" s="1" t="s">
        <v>5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7.6" thickBot="1" x14ac:dyDescent="0.35">
      <c r="A172" s="1">
        <v>10</v>
      </c>
      <c r="B172" s="3">
        <v>46281</v>
      </c>
      <c r="C172" s="1" t="s">
        <v>79</v>
      </c>
      <c r="D172" s="1">
        <v>1</v>
      </c>
      <c r="E172" s="9">
        <v>182906320</v>
      </c>
      <c r="F172" s="1" t="s">
        <v>4</v>
      </c>
      <c r="G172" s="1" t="s">
        <v>249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54" thickBot="1" x14ac:dyDescent="0.35">
      <c r="A173" s="1">
        <v>11</v>
      </c>
      <c r="B173" s="3">
        <v>46281</v>
      </c>
      <c r="C173" s="1" t="s">
        <v>45</v>
      </c>
      <c r="D173" s="1">
        <v>2</v>
      </c>
      <c r="E173" s="1" t="s">
        <v>8</v>
      </c>
      <c r="F173" s="1" t="s">
        <v>33</v>
      </c>
      <c r="G173" s="1" t="s">
        <v>62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35">
      <c r="A174" s="1">
        <v>12</v>
      </c>
      <c r="B174" s="3">
        <v>46281</v>
      </c>
      <c r="C174" s="1" t="s">
        <v>162</v>
      </c>
      <c r="D174" s="1">
        <v>1</v>
      </c>
      <c r="E174" s="9">
        <v>182908526</v>
      </c>
      <c r="F174" s="1" t="s">
        <v>4</v>
      </c>
      <c r="G174" s="1" t="s">
        <v>44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7.6" thickBot="1" x14ac:dyDescent="0.35">
      <c r="A175" s="1">
        <v>13</v>
      </c>
      <c r="B175" s="3">
        <v>46281</v>
      </c>
      <c r="C175" s="1" t="s">
        <v>250</v>
      </c>
      <c r="D175" s="1">
        <v>2</v>
      </c>
      <c r="E175" s="4">
        <v>23565</v>
      </c>
      <c r="F175" s="1" t="s">
        <v>83</v>
      </c>
      <c r="G175" s="1" t="s">
        <v>193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7.6" thickBot="1" x14ac:dyDescent="0.35">
      <c r="A176" s="1">
        <v>14</v>
      </c>
      <c r="B176" s="3">
        <v>46281</v>
      </c>
      <c r="C176" s="1" t="s">
        <v>143</v>
      </c>
      <c r="D176" s="1">
        <v>1</v>
      </c>
      <c r="E176" s="4" t="s">
        <v>251</v>
      </c>
      <c r="F176" s="1" t="s">
        <v>4</v>
      </c>
      <c r="G176" s="1" t="s">
        <v>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7.6" thickBot="1" x14ac:dyDescent="0.35">
      <c r="A177" s="1">
        <v>15</v>
      </c>
      <c r="B177" s="3">
        <v>46281</v>
      </c>
      <c r="C177" s="1" t="s">
        <v>99</v>
      </c>
      <c r="D177" s="1">
        <v>1</v>
      </c>
      <c r="E177" s="1" t="s">
        <v>8</v>
      </c>
      <c r="F177" s="1" t="s">
        <v>15</v>
      </c>
      <c r="G177" s="1" t="s">
        <v>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7.6" thickBot="1" x14ac:dyDescent="0.35">
      <c r="A178" s="1">
        <v>17</v>
      </c>
      <c r="B178" s="3">
        <v>46281</v>
      </c>
      <c r="C178" s="1" t="s">
        <v>66</v>
      </c>
      <c r="D178" s="1">
        <v>1</v>
      </c>
      <c r="E178" s="1" t="s">
        <v>8</v>
      </c>
      <c r="F178" s="1" t="s">
        <v>15</v>
      </c>
      <c r="G178" s="1" t="s">
        <v>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7.6" thickBot="1" x14ac:dyDescent="0.35">
      <c r="A179" s="16">
        <v>16</v>
      </c>
      <c r="B179" s="17">
        <v>46281</v>
      </c>
      <c r="C179" s="16" t="s">
        <v>252</v>
      </c>
      <c r="D179" s="16">
        <v>2</v>
      </c>
      <c r="E179" s="16" t="s">
        <v>8</v>
      </c>
      <c r="F179" s="16" t="s">
        <v>253</v>
      </c>
      <c r="G179" s="16" t="s">
        <v>254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7.6" thickBot="1" x14ac:dyDescent="0.35">
      <c r="A180" s="16">
        <v>17</v>
      </c>
      <c r="B180" s="17">
        <v>46281</v>
      </c>
      <c r="C180" s="16" t="s">
        <v>252</v>
      </c>
      <c r="D180" s="16">
        <v>3</v>
      </c>
      <c r="E180" s="16" t="s">
        <v>8</v>
      </c>
      <c r="F180" s="16" t="s">
        <v>255</v>
      </c>
      <c r="G180" s="16" t="s">
        <v>256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7.6" thickBot="1" x14ac:dyDescent="0.35">
      <c r="A181" s="16">
        <v>18</v>
      </c>
      <c r="B181" s="17">
        <v>46281</v>
      </c>
      <c r="C181" s="16" t="s">
        <v>252</v>
      </c>
      <c r="D181" s="16">
        <v>3</v>
      </c>
      <c r="E181" s="16" t="s">
        <v>8</v>
      </c>
      <c r="F181" s="16" t="s">
        <v>255</v>
      </c>
      <c r="G181" s="16" t="s">
        <v>257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7.6" thickBot="1" x14ac:dyDescent="0.35">
      <c r="A182" s="18">
        <v>20</v>
      </c>
      <c r="B182" s="19">
        <v>46281</v>
      </c>
      <c r="C182" s="18" t="s">
        <v>252</v>
      </c>
      <c r="D182" s="18">
        <v>1</v>
      </c>
      <c r="E182" s="18" t="s">
        <v>8</v>
      </c>
      <c r="F182" s="18" t="s">
        <v>258</v>
      </c>
      <c r="G182" s="18" t="s">
        <v>259</v>
      </c>
      <c r="H182" s="1">
        <v>28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40.799999999999997" thickBot="1" x14ac:dyDescent="0.35">
      <c r="A183" s="1">
        <v>1</v>
      </c>
      <c r="B183" s="3">
        <v>46282</v>
      </c>
      <c r="C183" s="1" t="s">
        <v>252</v>
      </c>
      <c r="D183" s="1">
        <v>2</v>
      </c>
      <c r="E183" s="1" t="s">
        <v>8</v>
      </c>
      <c r="F183" s="1" t="s">
        <v>9</v>
      </c>
      <c r="G183" s="1" t="s">
        <v>84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40.799999999999997" thickBot="1" x14ac:dyDescent="0.35">
      <c r="A184" s="1">
        <v>2</v>
      </c>
      <c r="B184" s="3">
        <v>46282</v>
      </c>
      <c r="C184" s="1" t="s">
        <v>12</v>
      </c>
      <c r="D184" s="1">
        <v>4</v>
      </c>
      <c r="E184" s="1" t="s">
        <v>8</v>
      </c>
      <c r="F184" s="1" t="s">
        <v>41</v>
      </c>
      <c r="G184" s="1" t="s">
        <v>260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35">
      <c r="A185" s="1">
        <v>3</v>
      </c>
      <c r="B185" s="3">
        <v>46282</v>
      </c>
      <c r="C185" s="1" t="s">
        <v>261</v>
      </c>
      <c r="D185" s="1">
        <v>1</v>
      </c>
      <c r="E185" s="4" t="s">
        <v>262</v>
      </c>
      <c r="F185" s="1" t="s">
        <v>4</v>
      </c>
      <c r="G185" s="1" t="s">
        <v>44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67.2" thickBot="1" x14ac:dyDescent="0.35">
      <c r="A186" s="1">
        <v>4</v>
      </c>
      <c r="B186" s="3">
        <v>46282</v>
      </c>
      <c r="C186" s="1" t="s">
        <v>213</v>
      </c>
      <c r="D186" s="1">
        <v>2</v>
      </c>
      <c r="E186" s="4" t="s">
        <v>263</v>
      </c>
      <c r="F186" s="1" t="s">
        <v>264</v>
      </c>
      <c r="G186" s="1" t="s">
        <v>265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7.6" thickBot="1" x14ac:dyDescent="0.35">
      <c r="A187" s="1">
        <v>5</v>
      </c>
      <c r="B187" s="3">
        <v>46282</v>
      </c>
      <c r="C187" s="1" t="s">
        <v>45</v>
      </c>
      <c r="D187" s="1">
        <v>2</v>
      </c>
      <c r="E187" s="1" t="s">
        <v>8</v>
      </c>
      <c r="F187" s="1" t="s">
        <v>9</v>
      </c>
      <c r="G187" s="1" t="s">
        <v>28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54" thickBot="1" x14ac:dyDescent="0.35">
      <c r="A188" s="1">
        <v>6</v>
      </c>
      <c r="B188" s="3">
        <v>46282</v>
      </c>
      <c r="C188" s="1" t="s">
        <v>266</v>
      </c>
      <c r="D188" s="1">
        <v>1</v>
      </c>
      <c r="E188" s="4" t="s">
        <v>267</v>
      </c>
      <c r="F188" s="1" t="s">
        <v>268</v>
      </c>
      <c r="G188" s="1" t="s">
        <v>269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7.6" thickBot="1" x14ac:dyDescent="0.35">
      <c r="A189" s="1">
        <v>7</v>
      </c>
      <c r="B189" s="3">
        <v>46282</v>
      </c>
      <c r="C189" s="1" t="s">
        <v>161</v>
      </c>
      <c r="D189" s="1">
        <v>1</v>
      </c>
      <c r="E189" s="1" t="s">
        <v>8</v>
      </c>
      <c r="F189" s="1" t="s">
        <v>15</v>
      </c>
      <c r="G189" s="1" t="s">
        <v>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7.6" thickBot="1" x14ac:dyDescent="0.35">
      <c r="A190" s="1">
        <v>8</v>
      </c>
      <c r="B190" s="3">
        <v>46282</v>
      </c>
      <c r="C190" s="1" t="s">
        <v>30</v>
      </c>
      <c r="D190" s="1">
        <v>1</v>
      </c>
      <c r="E190" s="4" t="s">
        <v>270</v>
      </c>
      <c r="F190" s="1" t="s">
        <v>4</v>
      </c>
      <c r="G190" s="1" t="s">
        <v>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7.6" thickBot="1" x14ac:dyDescent="0.35">
      <c r="A191" s="1">
        <v>9</v>
      </c>
      <c r="B191" s="3">
        <v>46282</v>
      </c>
      <c r="C191" s="1" t="s">
        <v>271</v>
      </c>
      <c r="D191" s="1">
        <v>2</v>
      </c>
      <c r="E191" s="4">
        <v>13036</v>
      </c>
      <c r="F191" s="1" t="s">
        <v>83</v>
      </c>
      <c r="G191" s="1" t="s">
        <v>28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7.6" thickBot="1" x14ac:dyDescent="0.35">
      <c r="A192" s="1">
        <v>10</v>
      </c>
      <c r="B192" s="3">
        <v>46282</v>
      </c>
      <c r="C192" s="1" t="s">
        <v>243</v>
      </c>
      <c r="D192" s="1">
        <v>1</v>
      </c>
      <c r="E192" s="4" t="s">
        <v>272</v>
      </c>
      <c r="F192" s="1" t="s">
        <v>4</v>
      </c>
      <c r="G192" s="1" t="s">
        <v>44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40.799999999999997" thickBot="1" x14ac:dyDescent="0.35">
      <c r="A193" s="1">
        <v>11</v>
      </c>
      <c r="B193" s="3">
        <v>46282</v>
      </c>
      <c r="C193" s="1" t="s">
        <v>45</v>
      </c>
      <c r="D193" s="1">
        <v>2</v>
      </c>
      <c r="E193" s="1" t="s">
        <v>8</v>
      </c>
      <c r="F193" s="1" t="s">
        <v>9</v>
      </c>
      <c r="G193" s="1" t="s">
        <v>84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7.6" thickBot="1" x14ac:dyDescent="0.35">
      <c r="A194" s="1">
        <v>12</v>
      </c>
      <c r="B194" s="3">
        <v>46282</v>
      </c>
      <c r="C194" s="1" t="s">
        <v>273</v>
      </c>
      <c r="D194" s="1">
        <v>1</v>
      </c>
      <c r="E194" s="1" t="s">
        <v>8</v>
      </c>
      <c r="F194" s="1" t="s">
        <v>15</v>
      </c>
      <c r="G194" s="1" t="s">
        <v>5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7.6" thickBot="1" x14ac:dyDescent="0.35">
      <c r="A195" s="5">
        <v>13</v>
      </c>
      <c r="B195" s="6">
        <v>46282</v>
      </c>
      <c r="C195" s="5" t="s">
        <v>45</v>
      </c>
      <c r="D195" s="5">
        <v>1</v>
      </c>
      <c r="E195" s="5" t="s">
        <v>8</v>
      </c>
      <c r="F195" s="5" t="s">
        <v>274</v>
      </c>
      <c r="G195" s="18" t="s">
        <v>275</v>
      </c>
      <c r="H195" s="1">
        <v>20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40.799999999999997" thickBot="1" x14ac:dyDescent="0.35">
      <c r="A196" s="1">
        <v>1</v>
      </c>
      <c r="B196" s="3">
        <v>46283</v>
      </c>
      <c r="C196" s="1" t="s">
        <v>12</v>
      </c>
      <c r="D196" s="1">
        <v>8</v>
      </c>
      <c r="E196" s="1" t="s">
        <v>8</v>
      </c>
      <c r="F196" s="1" t="s">
        <v>101</v>
      </c>
      <c r="G196" s="1" t="s">
        <v>276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7.6" thickBot="1" x14ac:dyDescent="0.35">
      <c r="A197" s="1">
        <v>2</v>
      </c>
      <c r="B197" s="3">
        <v>46283</v>
      </c>
      <c r="C197" s="1" t="s">
        <v>277</v>
      </c>
      <c r="D197" s="1">
        <v>1</v>
      </c>
      <c r="E197" s="1" t="s">
        <v>8</v>
      </c>
      <c r="F197" s="1" t="s">
        <v>15</v>
      </c>
      <c r="G197" s="1" t="s">
        <v>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7.6" thickBot="1" x14ac:dyDescent="0.35">
      <c r="A198" s="1">
        <v>3</v>
      </c>
      <c r="B198" s="3">
        <v>46283</v>
      </c>
      <c r="C198" s="1" t="s">
        <v>252</v>
      </c>
      <c r="D198" s="1">
        <v>2</v>
      </c>
      <c r="E198" s="1" t="s">
        <v>8</v>
      </c>
      <c r="F198" s="1" t="s">
        <v>9</v>
      </c>
      <c r="G198" s="1" t="s">
        <v>203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7.6" thickBot="1" x14ac:dyDescent="0.35">
      <c r="A199" s="1">
        <v>4</v>
      </c>
      <c r="B199" s="3">
        <v>46283</v>
      </c>
      <c r="C199" s="1" t="s">
        <v>252</v>
      </c>
      <c r="D199" s="1">
        <v>1</v>
      </c>
      <c r="E199" s="1" t="s">
        <v>8</v>
      </c>
      <c r="F199" s="1" t="s">
        <v>67</v>
      </c>
      <c r="G199" s="1" t="s">
        <v>50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40.799999999999997" thickBot="1" x14ac:dyDescent="0.35">
      <c r="A200" s="1">
        <v>5</v>
      </c>
      <c r="B200" s="3">
        <v>46283</v>
      </c>
      <c r="C200" s="1" t="s">
        <v>149</v>
      </c>
      <c r="D200" s="1">
        <v>2</v>
      </c>
      <c r="E200" s="4" t="s">
        <v>278</v>
      </c>
      <c r="F200" s="1" t="s">
        <v>61</v>
      </c>
      <c r="G200" s="1" t="s">
        <v>34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54" thickBot="1" x14ac:dyDescent="0.35">
      <c r="A201" s="1">
        <v>6</v>
      </c>
      <c r="B201" s="3">
        <v>46283</v>
      </c>
      <c r="C201" s="1" t="s">
        <v>279</v>
      </c>
      <c r="D201" s="1">
        <v>2</v>
      </c>
      <c r="E201" s="4" t="s">
        <v>280</v>
      </c>
      <c r="F201" s="1" t="s">
        <v>61</v>
      </c>
      <c r="G201" s="1" t="s">
        <v>140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40.799999999999997" thickBot="1" x14ac:dyDescent="0.35">
      <c r="A202" s="1">
        <v>7</v>
      </c>
      <c r="B202" s="3">
        <v>46283</v>
      </c>
      <c r="C202" s="1" t="s">
        <v>281</v>
      </c>
      <c r="D202" s="1">
        <v>3</v>
      </c>
      <c r="E202" s="4" t="s">
        <v>282</v>
      </c>
      <c r="F202" s="1" t="s">
        <v>97</v>
      </c>
      <c r="G202" s="1" t="s">
        <v>98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7.6" thickBot="1" x14ac:dyDescent="0.35">
      <c r="A203" s="1">
        <v>8</v>
      </c>
      <c r="B203" s="3">
        <v>46283</v>
      </c>
      <c r="C203" s="1" t="s">
        <v>19</v>
      </c>
      <c r="D203" s="1">
        <v>3</v>
      </c>
      <c r="E203" s="4" t="s">
        <v>283</v>
      </c>
      <c r="F203" s="1" t="s">
        <v>97</v>
      </c>
      <c r="G203" s="1" t="s">
        <v>200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40.799999999999997" thickBot="1" x14ac:dyDescent="0.35">
      <c r="A204" s="1">
        <v>9</v>
      </c>
      <c r="B204" s="3">
        <v>46283</v>
      </c>
      <c r="C204" s="1" t="s">
        <v>30</v>
      </c>
      <c r="D204" s="1">
        <v>2</v>
      </c>
      <c r="E204" s="4" t="s">
        <v>284</v>
      </c>
      <c r="F204" s="1" t="s">
        <v>83</v>
      </c>
      <c r="G204" s="1" t="s">
        <v>84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7.6" thickBot="1" x14ac:dyDescent="0.35">
      <c r="A205" s="1">
        <v>10</v>
      </c>
      <c r="B205" s="3">
        <v>46283</v>
      </c>
      <c r="C205" s="1" t="s">
        <v>45</v>
      </c>
      <c r="D205" s="1">
        <v>1</v>
      </c>
      <c r="E205" s="1" t="s">
        <v>8</v>
      </c>
      <c r="F205" s="1" t="s">
        <v>15</v>
      </c>
      <c r="G205" s="1" t="s">
        <v>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54" thickBot="1" x14ac:dyDescent="0.35">
      <c r="A206" s="1">
        <v>11</v>
      </c>
      <c r="B206" s="3">
        <v>46283</v>
      </c>
      <c r="C206" s="1" t="s">
        <v>45</v>
      </c>
      <c r="D206" s="1">
        <v>1</v>
      </c>
      <c r="E206" s="1" t="s">
        <v>8</v>
      </c>
      <c r="F206" s="1" t="s">
        <v>285</v>
      </c>
      <c r="G206" s="1" t="s">
        <v>286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7.6" thickBot="1" x14ac:dyDescent="0.35">
      <c r="A207" s="5">
        <v>12</v>
      </c>
      <c r="B207" s="6">
        <v>46283</v>
      </c>
      <c r="C207" s="5" t="s">
        <v>287</v>
      </c>
      <c r="D207" s="5">
        <v>3</v>
      </c>
      <c r="E207" s="5" t="s">
        <v>8</v>
      </c>
      <c r="F207" s="5" t="s">
        <v>288</v>
      </c>
      <c r="G207" s="5" t="s">
        <v>289</v>
      </c>
      <c r="H207" s="1">
        <v>29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35">
      <c r="A209" s="20" t="s">
        <v>290</v>
      </c>
      <c r="B209" s="12"/>
      <c r="C209" s="12"/>
      <c r="D209" s="12"/>
      <c r="E209" s="12"/>
      <c r="F209" s="12"/>
      <c r="G209" s="1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67.2" thickBot="1" x14ac:dyDescent="0.35">
      <c r="A210" s="1">
        <v>1</v>
      </c>
      <c r="B210" s="3">
        <v>46286</v>
      </c>
      <c r="C210" s="1" t="s">
        <v>12</v>
      </c>
      <c r="D210" s="1">
        <v>6</v>
      </c>
      <c r="E210" s="1" t="s">
        <v>8</v>
      </c>
      <c r="F210" s="1" t="s">
        <v>101</v>
      </c>
      <c r="G210" s="1" t="s">
        <v>239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54" thickBot="1" x14ac:dyDescent="0.35">
      <c r="A211" s="1">
        <v>2</v>
      </c>
      <c r="B211" s="3">
        <v>46286</v>
      </c>
      <c r="C211" s="1" t="s">
        <v>291</v>
      </c>
      <c r="D211" s="1">
        <v>2</v>
      </c>
      <c r="E211" s="4" t="s">
        <v>292</v>
      </c>
      <c r="F211" s="1" t="s">
        <v>61</v>
      </c>
      <c r="G211" s="1" t="s">
        <v>293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7.6" thickBot="1" x14ac:dyDescent="0.35">
      <c r="A212" s="1">
        <v>3</v>
      </c>
      <c r="B212" s="3">
        <v>46286</v>
      </c>
      <c r="C212" s="1" t="s">
        <v>19</v>
      </c>
      <c r="D212" s="1">
        <v>1</v>
      </c>
      <c r="E212" s="4" t="s">
        <v>294</v>
      </c>
      <c r="F212" s="1" t="s">
        <v>4</v>
      </c>
      <c r="G212" s="1" t="s">
        <v>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7.6" thickBot="1" x14ac:dyDescent="0.35">
      <c r="A213" s="1">
        <v>4</v>
      </c>
      <c r="B213" s="3">
        <v>46286</v>
      </c>
      <c r="C213" s="1" t="s">
        <v>64</v>
      </c>
      <c r="D213" s="1">
        <v>1</v>
      </c>
      <c r="E213" s="1" t="s">
        <v>8</v>
      </c>
      <c r="F213" s="1" t="s">
        <v>15</v>
      </c>
      <c r="G213" s="1" t="s">
        <v>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7.6" thickBot="1" x14ac:dyDescent="0.35">
      <c r="A214" s="1">
        <v>5</v>
      </c>
      <c r="B214" s="3">
        <v>46286</v>
      </c>
      <c r="C214" s="1" t="s">
        <v>231</v>
      </c>
      <c r="D214" s="1">
        <v>1</v>
      </c>
      <c r="E214" s="4" t="s">
        <v>295</v>
      </c>
      <c r="F214" s="1" t="s">
        <v>4</v>
      </c>
      <c r="G214" s="1" t="s">
        <v>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7.6" thickBot="1" x14ac:dyDescent="0.35">
      <c r="A215" s="1">
        <v>6</v>
      </c>
      <c r="B215" s="3">
        <v>46286</v>
      </c>
      <c r="C215" s="1" t="s">
        <v>68</v>
      </c>
      <c r="D215" s="1">
        <v>2</v>
      </c>
      <c r="E215" s="1" t="s">
        <v>8</v>
      </c>
      <c r="F215" s="1" t="s">
        <v>114</v>
      </c>
      <c r="G215" s="1" t="s">
        <v>296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7.6" thickBot="1" x14ac:dyDescent="0.35">
      <c r="A216" s="1">
        <v>7</v>
      </c>
      <c r="B216" s="3">
        <v>46286</v>
      </c>
      <c r="C216" s="1" t="s">
        <v>243</v>
      </c>
      <c r="D216" s="1">
        <v>1</v>
      </c>
      <c r="E216" s="4" t="s">
        <v>297</v>
      </c>
      <c r="F216" s="1" t="s">
        <v>4</v>
      </c>
      <c r="G216" s="1" t="s">
        <v>44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7.6" thickBot="1" x14ac:dyDescent="0.35">
      <c r="A217" s="1">
        <v>8</v>
      </c>
      <c r="B217" s="3">
        <v>46286</v>
      </c>
      <c r="C217" s="1" t="s">
        <v>298</v>
      </c>
      <c r="D217" s="1">
        <v>1</v>
      </c>
      <c r="E217" s="4" t="s">
        <v>299</v>
      </c>
      <c r="F217" s="1" t="s">
        <v>4</v>
      </c>
      <c r="G217" s="1" t="s">
        <v>5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35">
      <c r="A218" s="1">
        <v>9</v>
      </c>
      <c r="B218" s="3">
        <v>46286</v>
      </c>
      <c r="C218" s="1" t="s">
        <v>45</v>
      </c>
      <c r="D218" s="1">
        <v>1</v>
      </c>
      <c r="E218" s="1" t="s">
        <v>8</v>
      </c>
      <c r="F218" s="1" t="s">
        <v>15</v>
      </c>
      <c r="G218" s="1" t="s">
        <v>44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7.6" thickBot="1" x14ac:dyDescent="0.35">
      <c r="A219" s="1">
        <v>10</v>
      </c>
      <c r="B219" s="3">
        <v>46286</v>
      </c>
      <c r="C219" s="1" t="s">
        <v>161</v>
      </c>
      <c r="D219" s="1">
        <v>1</v>
      </c>
      <c r="E219" s="1" t="s">
        <v>8</v>
      </c>
      <c r="F219" s="1" t="s">
        <v>15</v>
      </c>
      <c r="G219" s="1" t="s">
        <v>5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7.6" thickBot="1" x14ac:dyDescent="0.35">
      <c r="A220" s="1">
        <v>11</v>
      </c>
      <c r="B220" s="3">
        <v>46286</v>
      </c>
      <c r="C220" s="1" t="s">
        <v>66</v>
      </c>
      <c r="D220" s="1">
        <v>1</v>
      </c>
      <c r="E220" s="1" t="s">
        <v>8</v>
      </c>
      <c r="F220" s="1" t="s">
        <v>15</v>
      </c>
      <c r="G220" s="1" t="s">
        <v>5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54" thickBot="1" x14ac:dyDescent="0.35">
      <c r="A221" s="1">
        <v>12</v>
      </c>
      <c r="B221" s="3">
        <v>46286</v>
      </c>
      <c r="C221" s="1" t="s">
        <v>300</v>
      </c>
      <c r="D221" s="1">
        <v>1</v>
      </c>
      <c r="E221" s="1" t="s">
        <v>8</v>
      </c>
      <c r="F221" s="1" t="s">
        <v>285</v>
      </c>
      <c r="G221" s="1" t="s">
        <v>75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7.6" thickBot="1" x14ac:dyDescent="0.35">
      <c r="A222" s="1">
        <v>13</v>
      </c>
      <c r="B222" s="3">
        <v>46286</v>
      </c>
      <c r="C222" s="1" t="s">
        <v>30</v>
      </c>
      <c r="D222" s="1">
        <v>1</v>
      </c>
      <c r="E222" s="4" t="s">
        <v>301</v>
      </c>
      <c r="F222" s="1" t="s">
        <v>4</v>
      </c>
      <c r="G222" s="1" t="s">
        <v>5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35">
      <c r="A223" s="1">
        <v>14</v>
      </c>
      <c r="B223" s="3">
        <v>46286</v>
      </c>
      <c r="C223" s="1" t="s">
        <v>30</v>
      </c>
      <c r="D223" s="1">
        <v>1</v>
      </c>
      <c r="E223" s="4" t="s">
        <v>302</v>
      </c>
      <c r="F223" s="1" t="s">
        <v>4</v>
      </c>
      <c r="G223" s="1" t="s">
        <v>44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40.799999999999997" thickBot="1" x14ac:dyDescent="0.35">
      <c r="A224" s="1">
        <v>15</v>
      </c>
      <c r="B224" s="3">
        <v>46286</v>
      </c>
      <c r="C224" s="1" t="s">
        <v>143</v>
      </c>
      <c r="D224" s="1">
        <v>1</v>
      </c>
      <c r="E224" s="4" t="s">
        <v>303</v>
      </c>
      <c r="F224" s="1" t="s">
        <v>304</v>
      </c>
      <c r="G224" s="1" t="s">
        <v>305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7.6" thickBot="1" x14ac:dyDescent="0.35">
      <c r="A225" s="1">
        <v>16</v>
      </c>
      <c r="B225" s="3">
        <v>46286</v>
      </c>
      <c r="C225" s="1" t="s">
        <v>287</v>
      </c>
      <c r="D225" s="1">
        <v>2</v>
      </c>
      <c r="E225" s="4" t="s">
        <v>306</v>
      </c>
      <c r="F225" s="1" t="s">
        <v>134</v>
      </c>
      <c r="G225" s="1" t="s">
        <v>296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7.6" thickBot="1" x14ac:dyDescent="0.35">
      <c r="A226" s="1">
        <v>17</v>
      </c>
      <c r="B226" s="3">
        <v>46286</v>
      </c>
      <c r="C226" s="1" t="s">
        <v>99</v>
      </c>
      <c r="D226" s="1">
        <v>1</v>
      </c>
      <c r="E226" s="1" t="s">
        <v>8</v>
      </c>
      <c r="F226" s="1" t="s">
        <v>15</v>
      </c>
      <c r="G226" s="1" t="s">
        <v>5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7.6" thickBot="1" x14ac:dyDescent="0.35">
      <c r="A227" s="1">
        <v>18</v>
      </c>
      <c r="B227" s="3">
        <v>46286</v>
      </c>
      <c r="C227" s="1" t="s">
        <v>45</v>
      </c>
      <c r="D227" s="1">
        <v>2</v>
      </c>
      <c r="E227" s="1" t="s">
        <v>8</v>
      </c>
      <c r="F227" s="1" t="s">
        <v>114</v>
      </c>
      <c r="G227" s="1" t="s">
        <v>296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7.6" thickBot="1" x14ac:dyDescent="0.35">
      <c r="A228" s="1">
        <v>19</v>
      </c>
      <c r="B228" s="3">
        <v>46286</v>
      </c>
      <c r="C228" s="1" t="s">
        <v>307</v>
      </c>
      <c r="D228" s="1">
        <v>1</v>
      </c>
      <c r="E228" s="4" t="s">
        <v>308</v>
      </c>
      <c r="F228" s="1" t="s">
        <v>4</v>
      </c>
      <c r="G228" s="1" t="s">
        <v>5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54" thickBot="1" x14ac:dyDescent="0.35">
      <c r="A229" s="5">
        <v>20</v>
      </c>
      <c r="B229" s="6">
        <v>46286</v>
      </c>
      <c r="C229" s="5" t="s">
        <v>111</v>
      </c>
      <c r="D229" s="5">
        <v>2</v>
      </c>
      <c r="E229" s="10" t="s">
        <v>309</v>
      </c>
      <c r="F229" s="5" t="s">
        <v>61</v>
      </c>
      <c r="G229" s="5" t="s">
        <v>140</v>
      </c>
      <c r="H229" s="1">
        <v>30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7.6" thickBot="1" x14ac:dyDescent="0.35">
      <c r="A230" s="1">
        <v>1</v>
      </c>
      <c r="B230" s="3">
        <v>46287</v>
      </c>
      <c r="C230" s="1" t="s">
        <v>225</v>
      </c>
      <c r="D230" s="1">
        <v>1</v>
      </c>
      <c r="E230" s="1" t="s">
        <v>8</v>
      </c>
      <c r="F230" s="1" t="s">
        <v>15</v>
      </c>
      <c r="G230" s="1" t="s">
        <v>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7.6" thickBot="1" x14ac:dyDescent="0.35">
      <c r="A231" s="1">
        <v>2</v>
      </c>
      <c r="B231" s="3">
        <v>46287</v>
      </c>
      <c r="C231" s="1" t="s">
        <v>45</v>
      </c>
      <c r="D231" s="1">
        <v>0</v>
      </c>
      <c r="E231" s="1" t="s">
        <v>8</v>
      </c>
      <c r="F231" s="1" t="s">
        <v>310</v>
      </c>
      <c r="G231" s="16" t="s">
        <v>275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40.799999999999997" thickBot="1" x14ac:dyDescent="0.35">
      <c r="A232" s="1">
        <v>3</v>
      </c>
      <c r="B232" s="3">
        <v>46287</v>
      </c>
      <c r="C232" s="1" t="s">
        <v>12</v>
      </c>
      <c r="D232" s="1">
        <v>4</v>
      </c>
      <c r="E232" s="1" t="s">
        <v>8</v>
      </c>
      <c r="F232" s="1" t="s">
        <v>41</v>
      </c>
      <c r="G232" s="1" t="s">
        <v>42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54" thickBot="1" x14ac:dyDescent="0.35">
      <c r="A233" s="1">
        <v>4</v>
      </c>
      <c r="B233" s="3">
        <v>46287</v>
      </c>
      <c r="C233" s="1" t="s">
        <v>311</v>
      </c>
      <c r="D233" s="1">
        <v>2</v>
      </c>
      <c r="E233" s="4" t="s">
        <v>312</v>
      </c>
      <c r="F233" s="1" t="s">
        <v>61</v>
      </c>
      <c r="G233" s="1" t="s">
        <v>140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35">
      <c r="A234" s="1">
        <v>5</v>
      </c>
      <c r="B234" s="3">
        <v>46287</v>
      </c>
      <c r="C234" s="1" t="s">
        <v>313</v>
      </c>
      <c r="D234" s="1">
        <v>1</v>
      </c>
      <c r="E234" s="4" t="s">
        <v>314</v>
      </c>
      <c r="F234" s="1" t="s">
        <v>4</v>
      </c>
      <c r="G234" s="1" t="s">
        <v>44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7.6" thickBot="1" x14ac:dyDescent="0.35">
      <c r="A235" s="1">
        <v>6</v>
      </c>
      <c r="B235" s="3">
        <v>46287</v>
      </c>
      <c r="C235" s="1" t="s">
        <v>315</v>
      </c>
      <c r="D235" s="1">
        <v>2</v>
      </c>
      <c r="E235" s="4">
        <v>39995</v>
      </c>
      <c r="F235" s="1" t="s">
        <v>83</v>
      </c>
      <c r="G235" s="1" t="s">
        <v>193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40.799999999999997" thickBot="1" x14ac:dyDescent="0.35">
      <c r="A236" s="1">
        <v>7</v>
      </c>
      <c r="B236" s="3">
        <v>46287</v>
      </c>
      <c r="C236" s="1" t="s">
        <v>261</v>
      </c>
      <c r="D236" s="1">
        <v>1</v>
      </c>
      <c r="E236" s="4" t="s">
        <v>316</v>
      </c>
      <c r="F236" s="1" t="s">
        <v>304</v>
      </c>
      <c r="G236" s="1" t="s">
        <v>317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40.799999999999997" thickBot="1" x14ac:dyDescent="0.35">
      <c r="A237" s="1">
        <v>8</v>
      </c>
      <c r="B237" s="3">
        <v>46287</v>
      </c>
      <c r="C237" s="1" t="s">
        <v>318</v>
      </c>
      <c r="D237" s="1">
        <v>2</v>
      </c>
      <c r="E237" s="4" t="s">
        <v>319</v>
      </c>
      <c r="F237" s="1" t="s">
        <v>61</v>
      </c>
      <c r="G237" s="1" t="s">
        <v>94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35">
      <c r="A238" s="1">
        <v>9</v>
      </c>
      <c r="B238" s="3">
        <v>46287</v>
      </c>
      <c r="C238" s="1" t="s">
        <v>167</v>
      </c>
      <c r="D238" s="1">
        <v>1</v>
      </c>
      <c r="E238" s="4" t="s">
        <v>320</v>
      </c>
      <c r="F238" s="1" t="s">
        <v>4</v>
      </c>
      <c r="G238" s="1" t="s">
        <v>44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7.6" thickBot="1" x14ac:dyDescent="0.35">
      <c r="A239" s="1">
        <v>10</v>
      </c>
      <c r="B239" s="3">
        <v>46287</v>
      </c>
      <c r="C239" s="1" t="s">
        <v>161</v>
      </c>
      <c r="D239" s="1">
        <v>1</v>
      </c>
      <c r="E239" s="1" t="s">
        <v>8</v>
      </c>
      <c r="F239" s="1" t="s">
        <v>15</v>
      </c>
      <c r="G239" s="1" t="s">
        <v>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54" thickBot="1" x14ac:dyDescent="0.35">
      <c r="A240" s="1">
        <v>11</v>
      </c>
      <c r="B240" s="3">
        <v>46287</v>
      </c>
      <c r="C240" s="1" t="s">
        <v>321</v>
      </c>
      <c r="D240" s="1">
        <v>1</v>
      </c>
      <c r="E240" s="1" t="s">
        <v>8</v>
      </c>
      <c r="F240" s="1" t="s">
        <v>285</v>
      </c>
      <c r="G240" s="1" t="s">
        <v>322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7.6" thickBot="1" x14ac:dyDescent="0.35">
      <c r="A241" s="1">
        <v>12</v>
      </c>
      <c r="B241" s="3">
        <v>46287</v>
      </c>
      <c r="C241" s="1" t="s">
        <v>323</v>
      </c>
      <c r="D241" s="1">
        <v>1</v>
      </c>
      <c r="E241" s="9">
        <v>183120945</v>
      </c>
      <c r="F241" s="1" t="s">
        <v>4</v>
      </c>
      <c r="G241" s="1" t="s">
        <v>5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7.6" thickBot="1" x14ac:dyDescent="0.35">
      <c r="A242" s="1">
        <v>13</v>
      </c>
      <c r="B242" s="3">
        <v>46287</v>
      </c>
      <c r="C242" s="1" t="s">
        <v>45</v>
      </c>
      <c r="D242" s="1">
        <v>2</v>
      </c>
      <c r="E242" s="1" t="s">
        <v>8</v>
      </c>
      <c r="F242" s="1" t="s">
        <v>15</v>
      </c>
      <c r="G242" s="1" t="s">
        <v>5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80.400000000000006" thickBot="1" x14ac:dyDescent="0.35">
      <c r="A243" s="1">
        <v>14</v>
      </c>
      <c r="B243" s="3">
        <v>46287</v>
      </c>
      <c r="C243" s="1" t="s">
        <v>138</v>
      </c>
      <c r="D243" s="1">
        <v>2</v>
      </c>
      <c r="E243" s="4">
        <v>36325</v>
      </c>
      <c r="F243" s="1" t="s">
        <v>324</v>
      </c>
      <c r="G243" s="1" t="s">
        <v>325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40.799999999999997" thickBot="1" x14ac:dyDescent="0.35">
      <c r="A244" s="1">
        <v>15</v>
      </c>
      <c r="B244" s="3">
        <v>46287</v>
      </c>
      <c r="C244" s="1" t="s">
        <v>237</v>
      </c>
      <c r="D244" s="1">
        <v>2</v>
      </c>
      <c r="E244" s="4" t="s">
        <v>326</v>
      </c>
      <c r="F244" s="1" t="s">
        <v>134</v>
      </c>
      <c r="G244" s="1" t="s">
        <v>115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54" thickBot="1" x14ac:dyDescent="0.35">
      <c r="A245" s="1">
        <v>16</v>
      </c>
      <c r="B245" s="3">
        <v>46287</v>
      </c>
      <c r="C245" s="1" t="s">
        <v>298</v>
      </c>
      <c r="D245" s="1">
        <v>1</v>
      </c>
      <c r="E245" s="4" t="s">
        <v>327</v>
      </c>
      <c r="F245" s="1" t="s">
        <v>304</v>
      </c>
      <c r="G245" s="1" t="s">
        <v>322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7.6" thickBot="1" x14ac:dyDescent="0.35">
      <c r="A246" s="1">
        <v>17</v>
      </c>
      <c r="B246" s="3">
        <v>46287</v>
      </c>
      <c r="C246" s="1" t="s">
        <v>287</v>
      </c>
      <c r="D246" s="1">
        <v>2</v>
      </c>
      <c r="E246" s="4" t="s">
        <v>328</v>
      </c>
      <c r="F246" s="1" t="s">
        <v>134</v>
      </c>
      <c r="G246" s="1" t="s">
        <v>329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7.6" thickBot="1" x14ac:dyDescent="0.35">
      <c r="A247" s="5">
        <v>18</v>
      </c>
      <c r="B247" s="6">
        <v>46287</v>
      </c>
      <c r="C247" s="5" t="s">
        <v>330</v>
      </c>
      <c r="D247" s="5">
        <v>1</v>
      </c>
      <c r="E247" s="5" t="s">
        <v>8</v>
      </c>
      <c r="F247" s="5" t="s">
        <v>15</v>
      </c>
      <c r="G247" s="5" t="s">
        <v>44</v>
      </c>
      <c r="H247" s="1">
        <v>27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40.799999999999997" thickBot="1" x14ac:dyDescent="0.35">
      <c r="A248" s="1">
        <v>1</v>
      </c>
      <c r="B248" s="3">
        <v>46288</v>
      </c>
      <c r="C248" s="1" t="s">
        <v>12</v>
      </c>
      <c r="D248" s="1">
        <v>4</v>
      </c>
      <c r="E248" s="1" t="s">
        <v>8</v>
      </c>
      <c r="F248" s="1" t="s">
        <v>41</v>
      </c>
      <c r="G248" s="1" t="s">
        <v>42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54" thickBot="1" x14ac:dyDescent="0.35">
      <c r="A249" s="1">
        <v>2</v>
      </c>
      <c r="B249" s="3">
        <v>46288</v>
      </c>
      <c r="C249" s="1" t="s">
        <v>311</v>
      </c>
      <c r="D249" s="1">
        <v>2</v>
      </c>
      <c r="E249" s="4" t="s">
        <v>331</v>
      </c>
      <c r="F249" s="1" t="s">
        <v>61</v>
      </c>
      <c r="G249" s="1" t="s">
        <v>140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7.6" thickBot="1" x14ac:dyDescent="0.35">
      <c r="A250" s="1">
        <v>3</v>
      </c>
      <c r="B250" s="3">
        <v>46288</v>
      </c>
      <c r="C250" s="1" t="s">
        <v>332</v>
      </c>
      <c r="D250" s="1">
        <v>1</v>
      </c>
      <c r="E250" s="4" t="s">
        <v>333</v>
      </c>
      <c r="F250" s="1" t="s">
        <v>49</v>
      </c>
      <c r="G250" s="1" t="s">
        <v>50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7.6" thickBot="1" x14ac:dyDescent="0.35">
      <c r="A251" s="1">
        <v>4</v>
      </c>
      <c r="B251" s="3">
        <v>46288</v>
      </c>
      <c r="C251" s="1" t="s">
        <v>334</v>
      </c>
      <c r="D251" s="1">
        <v>1</v>
      </c>
      <c r="E251" s="9">
        <v>1831148231</v>
      </c>
      <c r="F251" s="1" t="s">
        <v>49</v>
      </c>
      <c r="G251" s="1" t="s">
        <v>50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7.6" thickBot="1" x14ac:dyDescent="0.35">
      <c r="A252" s="1">
        <v>5</v>
      </c>
      <c r="B252" s="3">
        <v>46288</v>
      </c>
      <c r="C252" s="1" t="s">
        <v>63</v>
      </c>
      <c r="D252" s="1">
        <v>1</v>
      </c>
      <c r="E252" s="4" t="s">
        <v>335</v>
      </c>
      <c r="F252" s="1" t="s">
        <v>4</v>
      </c>
      <c r="G252" s="1" t="s">
        <v>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7.6" thickBot="1" x14ac:dyDescent="0.35">
      <c r="A253" s="1">
        <v>6</v>
      </c>
      <c r="B253" s="3">
        <v>46288</v>
      </c>
      <c r="C253" s="1" t="s">
        <v>225</v>
      </c>
      <c r="D253" s="1">
        <v>7</v>
      </c>
      <c r="E253" s="1" t="s">
        <v>8</v>
      </c>
      <c r="F253" s="1" t="s">
        <v>159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06.8" thickBot="1" x14ac:dyDescent="0.35">
      <c r="A254" s="1">
        <v>7</v>
      </c>
      <c r="B254" s="3">
        <v>46288</v>
      </c>
      <c r="C254" s="1" t="s">
        <v>225</v>
      </c>
      <c r="D254" s="1">
        <v>0</v>
      </c>
      <c r="E254" s="1" t="s">
        <v>8</v>
      </c>
      <c r="F254" s="1" t="s">
        <v>336</v>
      </c>
      <c r="G254" s="16" t="s">
        <v>337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35">
      <c r="A255" s="1">
        <v>8</v>
      </c>
      <c r="B255" s="3">
        <v>46288</v>
      </c>
      <c r="C255" s="1" t="s">
        <v>261</v>
      </c>
      <c r="D255" s="1">
        <v>1</v>
      </c>
      <c r="E255" s="4" t="s">
        <v>338</v>
      </c>
      <c r="F255" s="1" t="s">
        <v>4</v>
      </c>
      <c r="G255" s="1" t="s">
        <v>44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54" thickBot="1" x14ac:dyDescent="0.35">
      <c r="A256" s="1">
        <v>9</v>
      </c>
      <c r="B256" s="3">
        <v>46288</v>
      </c>
      <c r="C256" s="1" t="s">
        <v>339</v>
      </c>
      <c r="D256" s="1">
        <v>1</v>
      </c>
      <c r="E256" s="9">
        <v>18315695</v>
      </c>
      <c r="F256" s="1" t="s">
        <v>304</v>
      </c>
      <c r="G256" s="1" t="s">
        <v>75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54" thickBot="1" x14ac:dyDescent="0.35">
      <c r="A257" s="1">
        <v>10</v>
      </c>
      <c r="B257" s="3">
        <v>46288</v>
      </c>
      <c r="C257" s="1" t="s">
        <v>300</v>
      </c>
      <c r="D257" s="1">
        <v>1</v>
      </c>
      <c r="E257" s="1" t="s">
        <v>8</v>
      </c>
      <c r="F257" s="1" t="s">
        <v>33</v>
      </c>
      <c r="G257" s="1" t="s">
        <v>340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54" thickBot="1" x14ac:dyDescent="0.35">
      <c r="A258" s="1">
        <v>11</v>
      </c>
      <c r="B258" s="3">
        <v>46288</v>
      </c>
      <c r="C258" s="1" t="s">
        <v>76</v>
      </c>
      <c r="D258" s="1">
        <v>1</v>
      </c>
      <c r="E258" s="4" t="s">
        <v>341</v>
      </c>
      <c r="F258" s="1" t="s">
        <v>304</v>
      </c>
      <c r="G258" s="1" t="s">
        <v>75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80.400000000000006" thickBot="1" x14ac:dyDescent="0.35">
      <c r="A259" s="1">
        <v>12</v>
      </c>
      <c r="B259" s="3">
        <v>46288</v>
      </c>
      <c r="C259" s="1" t="s">
        <v>298</v>
      </c>
      <c r="D259" s="1">
        <v>1</v>
      </c>
      <c r="E259" s="4" t="s">
        <v>342</v>
      </c>
      <c r="F259" s="1" t="s">
        <v>4</v>
      </c>
      <c r="G259" s="1" t="s">
        <v>343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7.6" thickBot="1" x14ac:dyDescent="0.35">
      <c r="A260" s="1">
        <v>13</v>
      </c>
      <c r="B260" s="3">
        <v>46288</v>
      </c>
      <c r="C260" s="1" t="s">
        <v>161</v>
      </c>
      <c r="D260" s="1">
        <v>1</v>
      </c>
      <c r="E260" s="1" t="s">
        <v>8</v>
      </c>
      <c r="F260" s="1" t="s">
        <v>15</v>
      </c>
      <c r="G260" s="1" t="s">
        <v>5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35">
      <c r="A261" s="1">
        <v>14</v>
      </c>
      <c r="B261" s="3">
        <v>46288</v>
      </c>
      <c r="C261" s="1" t="s">
        <v>143</v>
      </c>
      <c r="D261" s="1">
        <v>1</v>
      </c>
      <c r="E261" s="4" t="s">
        <v>344</v>
      </c>
      <c r="F261" s="1" t="s">
        <v>4</v>
      </c>
      <c r="G261" s="1" t="s">
        <v>44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54" thickBot="1" x14ac:dyDescent="0.35">
      <c r="A262" s="1">
        <v>15</v>
      </c>
      <c r="B262" s="3">
        <v>46288</v>
      </c>
      <c r="C262" s="1" t="s">
        <v>138</v>
      </c>
      <c r="D262" s="1">
        <v>2</v>
      </c>
      <c r="E262" s="4" t="s">
        <v>345</v>
      </c>
      <c r="F262" s="1" t="s">
        <v>61</v>
      </c>
      <c r="G262" s="1" t="s">
        <v>62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35">
      <c r="A263" s="1">
        <v>16</v>
      </c>
      <c r="B263" s="3">
        <v>46288</v>
      </c>
      <c r="C263" s="1" t="s">
        <v>346</v>
      </c>
      <c r="D263" s="1">
        <v>1</v>
      </c>
      <c r="E263" s="1" t="s">
        <v>8</v>
      </c>
      <c r="F263" s="1" t="s">
        <v>15</v>
      </c>
      <c r="G263" s="1" t="s">
        <v>44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40.799999999999997" thickBot="1" x14ac:dyDescent="0.35">
      <c r="A264" s="1">
        <v>17</v>
      </c>
      <c r="B264" s="3">
        <v>46288</v>
      </c>
      <c r="C264" s="1" t="s">
        <v>347</v>
      </c>
      <c r="D264" s="1">
        <v>2</v>
      </c>
      <c r="E264" s="9">
        <v>183161048</v>
      </c>
      <c r="F264" s="1" t="s">
        <v>61</v>
      </c>
      <c r="G264" s="1" t="s">
        <v>147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7.6" thickBot="1" x14ac:dyDescent="0.35">
      <c r="A265" s="1">
        <v>18</v>
      </c>
      <c r="B265" s="3">
        <v>46288</v>
      </c>
      <c r="C265" s="1" t="s">
        <v>66</v>
      </c>
      <c r="D265" s="1">
        <v>1</v>
      </c>
      <c r="E265" s="1" t="s">
        <v>8</v>
      </c>
      <c r="F265" s="1" t="s">
        <v>67</v>
      </c>
      <c r="G265" s="1" t="s">
        <v>50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35">
      <c r="A266" s="5">
        <v>19</v>
      </c>
      <c r="B266" s="6">
        <v>46288</v>
      </c>
      <c r="C266" s="5" t="s">
        <v>348</v>
      </c>
      <c r="D266" s="5">
        <v>1</v>
      </c>
      <c r="E266" s="5" t="s">
        <v>8</v>
      </c>
      <c r="F266" s="5" t="s">
        <v>67</v>
      </c>
      <c r="G266" s="5" t="s">
        <v>44</v>
      </c>
      <c r="H266" s="1">
        <v>30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40.799999999999997" thickBot="1" x14ac:dyDescent="0.35">
      <c r="A267" s="1">
        <v>1</v>
      </c>
      <c r="B267" s="3">
        <v>46289</v>
      </c>
      <c r="C267" s="1" t="s">
        <v>12</v>
      </c>
      <c r="D267" s="1">
        <v>4</v>
      </c>
      <c r="E267" s="1" t="s">
        <v>8</v>
      </c>
      <c r="F267" s="1" t="s">
        <v>41</v>
      </c>
      <c r="G267" s="1" t="s">
        <v>42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67.2" thickBot="1" x14ac:dyDescent="0.35">
      <c r="A268" s="1">
        <v>2</v>
      </c>
      <c r="B268" s="3">
        <v>46289</v>
      </c>
      <c r="C268" s="1" t="s">
        <v>225</v>
      </c>
      <c r="D268" s="1">
        <v>7</v>
      </c>
      <c r="E268" s="1" t="s">
        <v>8</v>
      </c>
      <c r="F268" s="1" t="s">
        <v>349</v>
      </c>
      <c r="G268" s="1" t="s">
        <v>350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7.6" thickBot="1" x14ac:dyDescent="0.35">
      <c r="A269" s="1">
        <v>3</v>
      </c>
      <c r="B269" s="3">
        <v>46289</v>
      </c>
      <c r="C269" s="1" t="s">
        <v>161</v>
      </c>
      <c r="D269" s="1">
        <v>1</v>
      </c>
      <c r="E269" s="1" t="s">
        <v>8</v>
      </c>
      <c r="F269" s="1" t="s">
        <v>15</v>
      </c>
      <c r="G269" s="1" t="s">
        <v>5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40.799999999999997" thickBot="1" x14ac:dyDescent="0.35">
      <c r="A270" s="1">
        <v>4</v>
      </c>
      <c r="B270" s="3">
        <v>46289</v>
      </c>
      <c r="C270" s="1" t="s">
        <v>36</v>
      </c>
      <c r="D270" s="1">
        <v>2</v>
      </c>
      <c r="E270" s="4" t="s">
        <v>351</v>
      </c>
      <c r="F270" s="1" t="s">
        <v>134</v>
      </c>
      <c r="G270" s="1" t="s">
        <v>115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40.799999999999997" thickBot="1" x14ac:dyDescent="0.35">
      <c r="A271" s="1">
        <v>5</v>
      </c>
      <c r="B271" s="3">
        <v>46289</v>
      </c>
      <c r="C271" s="1" t="s">
        <v>311</v>
      </c>
      <c r="D271" s="1">
        <v>2</v>
      </c>
      <c r="E271" s="4" t="s">
        <v>352</v>
      </c>
      <c r="F271" s="1" t="s">
        <v>61</v>
      </c>
      <c r="G271" s="1" t="s">
        <v>94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40.799999999999997" thickBot="1" x14ac:dyDescent="0.35">
      <c r="A272" s="1">
        <v>6</v>
      </c>
      <c r="B272" s="3">
        <v>46289</v>
      </c>
      <c r="C272" s="1" t="s">
        <v>353</v>
      </c>
      <c r="D272" s="1">
        <v>2</v>
      </c>
      <c r="E272" s="4" t="s">
        <v>354</v>
      </c>
      <c r="F272" s="1" t="s">
        <v>61</v>
      </c>
      <c r="G272" s="1" t="s">
        <v>34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80.400000000000006" thickBot="1" x14ac:dyDescent="0.35">
      <c r="A273" s="1">
        <v>7</v>
      </c>
      <c r="B273" s="3">
        <v>46289</v>
      </c>
      <c r="C273" s="1" t="s">
        <v>104</v>
      </c>
      <c r="D273" s="1">
        <v>1</v>
      </c>
      <c r="E273" s="4" t="s">
        <v>355</v>
      </c>
      <c r="F273" s="1" t="s">
        <v>356</v>
      </c>
      <c r="G273" s="1" t="s">
        <v>357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54" thickBot="1" x14ac:dyDescent="0.35">
      <c r="A274" s="1">
        <v>8</v>
      </c>
      <c r="B274" s="3">
        <v>46289</v>
      </c>
      <c r="C274" s="1" t="s">
        <v>358</v>
      </c>
      <c r="D274" s="1">
        <v>1</v>
      </c>
      <c r="E274" s="1" t="s">
        <v>8</v>
      </c>
      <c r="F274" s="1" t="s">
        <v>285</v>
      </c>
      <c r="G274" s="1" t="s">
        <v>340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35">
      <c r="A275" s="1">
        <v>9</v>
      </c>
      <c r="B275" s="3">
        <v>46289</v>
      </c>
      <c r="C275" s="1" t="s">
        <v>162</v>
      </c>
      <c r="D275" s="1">
        <v>1</v>
      </c>
      <c r="E275" s="9">
        <v>183189636</v>
      </c>
      <c r="F275" s="1" t="s">
        <v>4</v>
      </c>
      <c r="G275" s="1" t="s">
        <v>44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35">
      <c r="A276" s="1">
        <v>10</v>
      </c>
      <c r="B276" s="3">
        <v>46289</v>
      </c>
      <c r="C276" s="1" t="s">
        <v>30</v>
      </c>
      <c r="D276" s="1">
        <v>1</v>
      </c>
      <c r="E276" s="4" t="s">
        <v>359</v>
      </c>
      <c r="F276" s="1" t="s">
        <v>4</v>
      </c>
      <c r="G276" s="1" t="s">
        <v>44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35">
      <c r="A277" s="1">
        <v>11</v>
      </c>
      <c r="B277" s="3">
        <v>46289</v>
      </c>
      <c r="C277" s="1" t="s">
        <v>30</v>
      </c>
      <c r="D277" s="1">
        <v>1</v>
      </c>
      <c r="E277" s="4" t="s">
        <v>360</v>
      </c>
      <c r="F277" s="1" t="s">
        <v>4</v>
      </c>
      <c r="G277" s="1" t="s">
        <v>44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7.6" thickBot="1" x14ac:dyDescent="0.35">
      <c r="A278" s="1">
        <v>12</v>
      </c>
      <c r="B278" s="3">
        <v>46289</v>
      </c>
      <c r="C278" s="1" t="s">
        <v>358</v>
      </c>
      <c r="D278" s="1">
        <v>1</v>
      </c>
      <c r="E278" s="1" t="s">
        <v>8</v>
      </c>
      <c r="F278" s="1" t="s">
        <v>15</v>
      </c>
      <c r="G278" s="1" t="s">
        <v>5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54" thickBot="1" x14ac:dyDescent="0.35">
      <c r="A279" s="1">
        <v>13</v>
      </c>
      <c r="B279" s="3">
        <v>46289</v>
      </c>
      <c r="C279" s="1" t="s">
        <v>300</v>
      </c>
      <c r="D279" s="1">
        <v>1</v>
      </c>
      <c r="E279" s="1" t="s">
        <v>8</v>
      </c>
      <c r="F279" s="1" t="s">
        <v>285</v>
      </c>
      <c r="G279" s="1" t="s">
        <v>75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35">
      <c r="A280" s="1">
        <v>14</v>
      </c>
      <c r="B280" s="3">
        <v>46289</v>
      </c>
      <c r="C280" s="1" t="s">
        <v>45</v>
      </c>
      <c r="D280" s="1">
        <v>1</v>
      </c>
      <c r="E280" s="1" t="s">
        <v>8</v>
      </c>
      <c r="F280" s="1" t="s">
        <v>15</v>
      </c>
      <c r="G280" s="1" t="s">
        <v>44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7.6" thickBot="1" x14ac:dyDescent="0.35">
      <c r="A281" s="1">
        <v>15</v>
      </c>
      <c r="B281" s="3">
        <v>46289</v>
      </c>
      <c r="C281" s="1" t="s">
        <v>45</v>
      </c>
      <c r="D281" s="1">
        <v>2</v>
      </c>
      <c r="E281" s="1" t="s">
        <v>8</v>
      </c>
      <c r="F281" s="1" t="s">
        <v>114</v>
      </c>
      <c r="G281" s="1" t="s">
        <v>329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54" thickBot="1" x14ac:dyDescent="0.35">
      <c r="A282" s="1">
        <v>16</v>
      </c>
      <c r="B282" s="3">
        <v>46289</v>
      </c>
      <c r="C282" s="1" t="s">
        <v>138</v>
      </c>
      <c r="D282" s="1">
        <v>2</v>
      </c>
      <c r="E282" s="4" t="s">
        <v>361</v>
      </c>
      <c r="F282" s="1" t="s">
        <v>61</v>
      </c>
      <c r="G282" s="1" t="s">
        <v>140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7.6" thickBot="1" x14ac:dyDescent="0.35">
      <c r="A283" s="1">
        <v>17</v>
      </c>
      <c r="B283" s="3">
        <v>46289</v>
      </c>
      <c r="C283" s="1" t="s">
        <v>45</v>
      </c>
      <c r="D283" s="1">
        <v>2</v>
      </c>
      <c r="E283" s="1" t="s">
        <v>8</v>
      </c>
      <c r="F283" s="1" t="s">
        <v>33</v>
      </c>
      <c r="G283" s="1" t="s">
        <v>5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35">
      <c r="A284" s="1">
        <v>18</v>
      </c>
      <c r="B284" s="3">
        <v>46289</v>
      </c>
      <c r="C284" s="1" t="s">
        <v>273</v>
      </c>
      <c r="D284" s="1">
        <v>1</v>
      </c>
      <c r="E284" s="1" t="s">
        <v>8</v>
      </c>
      <c r="F284" s="1" t="s">
        <v>67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7.6" thickBot="1" x14ac:dyDescent="0.35">
      <c r="A285" s="1">
        <v>19</v>
      </c>
      <c r="B285" s="3">
        <v>46289</v>
      </c>
      <c r="C285" s="1" t="s">
        <v>362</v>
      </c>
      <c r="D285" s="1">
        <v>1</v>
      </c>
      <c r="E285" s="4" t="s">
        <v>363</v>
      </c>
      <c r="F285" s="1" t="s">
        <v>4</v>
      </c>
      <c r="G285" s="1" t="s">
        <v>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7.6" thickBot="1" x14ac:dyDescent="0.35">
      <c r="A286" s="5">
        <v>20</v>
      </c>
      <c r="B286" s="6">
        <v>46289</v>
      </c>
      <c r="C286" s="5" t="s">
        <v>364</v>
      </c>
      <c r="D286" s="5">
        <v>1</v>
      </c>
      <c r="E286" s="10" t="s">
        <v>365</v>
      </c>
      <c r="F286" s="5" t="s">
        <v>4</v>
      </c>
      <c r="G286" s="5" t="s">
        <v>5</v>
      </c>
      <c r="H286" s="1">
        <v>35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93.6" thickBot="1" x14ac:dyDescent="0.35">
      <c r="A287" s="1">
        <v>1</v>
      </c>
      <c r="B287" s="3">
        <v>46290</v>
      </c>
      <c r="C287" s="1" t="s">
        <v>12</v>
      </c>
      <c r="D287" s="1">
        <v>8</v>
      </c>
      <c r="E287" s="1" t="s">
        <v>8</v>
      </c>
      <c r="F287" s="1" t="s">
        <v>101</v>
      </c>
      <c r="G287" s="1" t="s">
        <v>366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7.6" thickBot="1" x14ac:dyDescent="0.35">
      <c r="A288" s="1">
        <v>2</v>
      </c>
      <c r="B288" s="3">
        <v>46290</v>
      </c>
      <c r="C288" s="1" t="s">
        <v>346</v>
      </c>
      <c r="D288" s="1">
        <v>1</v>
      </c>
      <c r="E288" s="1" t="s">
        <v>8</v>
      </c>
      <c r="F288" s="1" t="s">
        <v>15</v>
      </c>
      <c r="G288" s="1" t="s">
        <v>5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7.6" thickBot="1" x14ac:dyDescent="0.35">
      <c r="A289" s="1">
        <v>3</v>
      </c>
      <c r="B289" s="3">
        <v>46290</v>
      </c>
      <c r="C289" s="1" t="s">
        <v>311</v>
      </c>
      <c r="D289" s="1">
        <v>2</v>
      </c>
      <c r="E289" s="4" t="s">
        <v>367</v>
      </c>
      <c r="F289" s="1" t="s">
        <v>134</v>
      </c>
      <c r="G289" s="1" t="s">
        <v>296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7.6" thickBot="1" x14ac:dyDescent="0.35">
      <c r="A290" s="1">
        <v>4</v>
      </c>
      <c r="B290" s="3">
        <v>46290</v>
      </c>
      <c r="C290" s="1" t="s">
        <v>149</v>
      </c>
      <c r="D290" s="1">
        <v>2</v>
      </c>
      <c r="E290" s="1" t="s">
        <v>8</v>
      </c>
      <c r="F290" s="1" t="s">
        <v>9</v>
      </c>
      <c r="G290" s="1" t="s">
        <v>193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35">
      <c r="A291" s="1">
        <v>5</v>
      </c>
      <c r="B291" s="3">
        <v>46290</v>
      </c>
      <c r="C291" s="1" t="s">
        <v>368</v>
      </c>
      <c r="D291" s="1">
        <v>1</v>
      </c>
      <c r="E291" s="9">
        <v>183217806</v>
      </c>
      <c r="F291" s="1" t="s">
        <v>4</v>
      </c>
      <c r="G291" s="1" t="s">
        <v>44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35">
      <c r="A292" s="1">
        <v>6</v>
      </c>
      <c r="B292" s="3">
        <v>46290</v>
      </c>
      <c r="C292" s="1" t="s">
        <v>369</v>
      </c>
      <c r="D292" s="1">
        <v>1</v>
      </c>
      <c r="E292" s="9">
        <v>183220059</v>
      </c>
      <c r="F292" s="1" t="s">
        <v>4</v>
      </c>
      <c r="G292" s="1" t="s">
        <v>44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7.6" thickBot="1" x14ac:dyDescent="0.35">
      <c r="A293" s="1">
        <v>7</v>
      </c>
      <c r="B293" s="3">
        <v>46290</v>
      </c>
      <c r="C293" s="1" t="s">
        <v>45</v>
      </c>
      <c r="D293" s="1">
        <v>2</v>
      </c>
      <c r="E293" s="1" t="s">
        <v>8</v>
      </c>
      <c r="F293" s="1" t="s">
        <v>9</v>
      </c>
      <c r="G293" s="1" t="s">
        <v>370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54" thickBot="1" x14ac:dyDescent="0.35">
      <c r="A294" s="1">
        <v>8</v>
      </c>
      <c r="B294" s="3">
        <v>46290</v>
      </c>
      <c r="C294" s="1" t="s">
        <v>358</v>
      </c>
      <c r="D294" s="1">
        <v>1</v>
      </c>
      <c r="E294" s="1" t="s">
        <v>8</v>
      </c>
      <c r="F294" s="1" t="s">
        <v>371</v>
      </c>
      <c r="G294" s="1" t="s">
        <v>372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7.6" thickBot="1" x14ac:dyDescent="0.35">
      <c r="A295" s="1">
        <v>9</v>
      </c>
      <c r="B295" s="3">
        <v>46290</v>
      </c>
      <c r="C295" s="1" t="s">
        <v>298</v>
      </c>
      <c r="D295" s="1">
        <v>1</v>
      </c>
      <c r="E295" s="4" t="s">
        <v>373</v>
      </c>
      <c r="F295" s="1" t="s">
        <v>4</v>
      </c>
      <c r="G295" s="1" t="s">
        <v>5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7.6" thickBot="1" x14ac:dyDescent="0.35">
      <c r="A296" s="1">
        <v>10</v>
      </c>
      <c r="B296" s="3">
        <v>46290</v>
      </c>
      <c r="C296" s="1" t="s">
        <v>362</v>
      </c>
      <c r="D296" s="1">
        <v>1</v>
      </c>
      <c r="E296" s="4" t="s">
        <v>374</v>
      </c>
      <c r="F296" s="1" t="s">
        <v>4</v>
      </c>
      <c r="G296" s="1" t="s">
        <v>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7.6" thickBot="1" x14ac:dyDescent="0.35">
      <c r="A297" s="1">
        <v>11</v>
      </c>
      <c r="B297" s="3">
        <v>46290</v>
      </c>
      <c r="C297" s="1" t="s">
        <v>243</v>
      </c>
      <c r="D297" s="1">
        <v>1</v>
      </c>
      <c r="E297" s="4" t="s">
        <v>375</v>
      </c>
      <c r="F297" s="1" t="s">
        <v>4</v>
      </c>
      <c r="G297" s="1" t="s">
        <v>44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7.6" thickBot="1" x14ac:dyDescent="0.35">
      <c r="A298" s="1">
        <v>14</v>
      </c>
      <c r="B298" s="3">
        <v>46290</v>
      </c>
      <c r="C298" s="1" t="s">
        <v>376</v>
      </c>
      <c r="D298" s="1">
        <v>1</v>
      </c>
      <c r="E298" s="9">
        <v>183224518</v>
      </c>
      <c r="F298" s="1" t="s">
        <v>4</v>
      </c>
      <c r="G298" s="1" t="s">
        <v>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40.799999999999997" thickBot="1" x14ac:dyDescent="0.35">
      <c r="A299" s="1">
        <v>15</v>
      </c>
      <c r="B299" s="3">
        <v>46290</v>
      </c>
      <c r="C299" s="1" t="s">
        <v>266</v>
      </c>
      <c r="D299" s="1">
        <v>1</v>
      </c>
      <c r="E299" s="9">
        <v>183224800</v>
      </c>
      <c r="F299" s="1" t="s">
        <v>304</v>
      </c>
      <c r="G299" s="1" t="s">
        <v>377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7.6" thickBot="1" x14ac:dyDescent="0.35">
      <c r="A300" s="1">
        <v>16</v>
      </c>
      <c r="B300" s="3">
        <v>46290</v>
      </c>
      <c r="C300" s="1" t="s">
        <v>378</v>
      </c>
      <c r="D300" s="1">
        <v>0</v>
      </c>
      <c r="E300" s="9">
        <v>183226202</v>
      </c>
      <c r="F300" s="1" t="s">
        <v>310</v>
      </c>
      <c r="G300" s="16" t="s">
        <v>379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54" thickBot="1" x14ac:dyDescent="0.35">
      <c r="A301" s="1">
        <v>17</v>
      </c>
      <c r="B301" s="3">
        <v>46290</v>
      </c>
      <c r="C301" s="1" t="s">
        <v>300</v>
      </c>
      <c r="D301" s="1">
        <v>1</v>
      </c>
      <c r="E301" s="1" t="s">
        <v>8</v>
      </c>
      <c r="F301" s="1" t="s">
        <v>285</v>
      </c>
      <c r="G301" s="1" t="s">
        <v>75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40.799999999999997" thickBot="1" x14ac:dyDescent="0.35">
      <c r="A302" s="1">
        <v>18</v>
      </c>
      <c r="B302" s="3">
        <v>46290</v>
      </c>
      <c r="C302" s="1" t="s">
        <v>380</v>
      </c>
      <c r="D302" s="1">
        <v>2</v>
      </c>
      <c r="E302" s="4" t="s">
        <v>381</v>
      </c>
      <c r="F302" s="1" t="s">
        <v>61</v>
      </c>
      <c r="G302" s="1" t="s">
        <v>34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7.6" thickBot="1" x14ac:dyDescent="0.35">
      <c r="A303" s="1">
        <v>19</v>
      </c>
      <c r="B303" s="3">
        <v>46290</v>
      </c>
      <c r="C303" s="1" t="s">
        <v>382</v>
      </c>
      <c r="D303" s="1">
        <v>2</v>
      </c>
      <c r="E303" s="1" t="s">
        <v>8</v>
      </c>
      <c r="F303" s="1" t="s">
        <v>9</v>
      </c>
      <c r="G303" s="1" t="s">
        <v>383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7.6" thickBot="1" x14ac:dyDescent="0.35">
      <c r="A304" s="1">
        <v>20</v>
      </c>
      <c r="B304" s="3">
        <v>46290</v>
      </c>
      <c r="C304" s="1" t="s">
        <v>384</v>
      </c>
      <c r="D304" s="1">
        <v>0</v>
      </c>
      <c r="E304" s="1" t="s">
        <v>8</v>
      </c>
      <c r="F304" s="1" t="s">
        <v>310</v>
      </c>
      <c r="G304" s="16" t="s">
        <v>275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7.6" thickBot="1" x14ac:dyDescent="0.35">
      <c r="A305" s="1">
        <v>21</v>
      </c>
      <c r="B305" s="3">
        <v>46290</v>
      </c>
      <c r="C305" s="1" t="s">
        <v>66</v>
      </c>
      <c r="D305" s="1">
        <v>1</v>
      </c>
      <c r="E305" s="1" t="s">
        <v>8</v>
      </c>
      <c r="F305" s="1" t="s">
        <v>15</v>
      </c>
      <c r="G305" s="1" t="s">
        <v>5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7.6" thickBot="1" x14ac:dyDescent="0.35">
      <c r="A306" s="1">
        <v>22</v>
      </c>
      <c r="B306" s="3">
        <v>46290</v>
      </c>
      <c r="C306" s="1" t="s">
        <v>30</v>
      </c>
      <c r="D306" s="1">
        <v>1</v>
      </c>
      <c r="E306" s="4" t="s">
        <v>385</v>
      </c>
      <c r="F306" s="1" t="s">
        <v>4</v>
      </c>
      <c r="G306" s="1" t="s">
        <v>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54" thickBot="1" x14ac:dyDescent="0.35">
      <c r="A307" s="1">
        <v>23</v>
      </c>
      <c r="B307" s="3">
        <v>46290</v>
      </c>
      <c r="C307" s="1" t="s">
        <v>138</v>
      </c>
      <c r="D307" s="1">
        <v>2</v>
      </c>
      <c r="E307" s="4" t="s">
        <v>386</v>
      </c>
      <c r="F307" s="1" t="s">
        <v>61</v>
      </c>
      <c r="G307" s="1" t="s">
        <v>293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7.6" thickBot="1" x14ac:dyDescent="0.35">
      <c r="A308" s="1">
        <v>24</v>
      </c>
      <c r="B308" s="3">
        <v>46290</v>
      </c>
      <c r="C308" s="1" t="s">
        <v>161</v>
      </c>
      <c r="D308" s="1">
        <v>1</v>
      </c>
      <c r="E308" s="1" t="s">
        <v>8</v>
      </c>
      <c r="F308" s="1" t="s">
        <v>15</v>
      </c>
      <c r="G308" s="1" t="s">
        <v>5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7.6" thickBot="1" x14ac:dyDescent="0.35">
      <c r="A309" s="5">
        <v>25</v>
      </c>
      <c r="B309" s="6">
        <v>46290</v>
      </c>
      <c r="C309" s="5" t="s">
        <v>45</v>
      </c>
      <c r="D309" s="5">
        <v>1</v>
      </c>
      <c r="E309" s="5" t="s">
        <v>8</v>
      </c>
      <c r="F309" s="5" t="s">
        <v>15</v>
      </c>
      <c r="G309" s="5" t="s">
        <v>5</v>
      </c>
      <c r="H309" s="1">
        <v>34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35">
      <c r="A311" s="20" t="s">
        <v>387</v>
      </c>
      <c r="B311" s="12"/>
      <c r="C311" s="12"/>
      <c r="D311" s="12"/>
      <c r="E311" s="12"/>
      <c r="F311" s="12"/>
      <c r="G311" s="1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40.799999999999997" thickBot="1" x14ac:dyDescent="0.35">
      <c r="A312" s="1">
        <v>1</v>
      </c>
      <c r="B312" s="3">
        <v>46293</v>
      </c>
      <c r="C312" s="1" t="s">
        <v>12</v>
      </c>
      <c r="D312" s="1">
        <v>4</v>
      </c>
      <c r="E312" s="1" t="s">
        <v>8</v>
      </c>
      <c r="F312" s="1" t="s">
        <v>41</v>
      </c>
      <c r="G312" s="1" t="s">
        <v>42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35">
      <c r="A313" s="1">
        <v>2</v>
      </c>
      <c r="B313" s="3">
        <v>46293</v>
      </c>
      <c r="C313" s="1" t="s">
        <v>182</v>
      </c>
      <c r="D313" s="1">
        <v>1</v>
      </c>
      <c r="E313" s="4" t="s">
        <v>388</v>
      </c>
      <c r="F313" s="1" t="s">
        <v>4</v>
      </c>
      <c r="G313" s="1" t="s">
        <v>44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54" thickBot="1" x14ac:dyDescent="0.35">
      <c r="A314" s="1">
        <v>3</v>
      </c>
      <c r="B314" s="3">
        <v>46293</v>
      </c>
      <c r="C314" s="1" t="s">
        <v>138</v>
      </c>
      <c r="D314" s="1">
        <v>2</v>
      </c>
      <c r="E314" s="4" t="s">
        <v>389</v>
      </c>
      <c r="F314" s="1" t="s">
        <v>61</v>
      </c>
      <c r="G314" s="1" t="s">
        <v>140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7.6" thickBot="1" x14ac:dyDescent="0.35">
      <c r="A315" s="1">
        <v>4</v>
      </c>
      <c r="B315" s="3">
        <v>46293</v>
      </c>
      <c r="C315" s="1" t="s">
        <v>390</v>
      </c>
      <c r="D315" s="1">
        <v>1</v>
      </c>
      <c r="E315" s="4" t="s">
        <v>391</v>
      </c>
      <c r="F315" s="1" t="s">
        <v>49</v>
      </c>
      <c r="G315" s="1" t="s">
        <v>50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7.6" thickBot="1" x14ac:dyDescent="0.35">
      <c r="A316" s="1">
        <v>5</v>
      </c>
      <c r="B316" s="3">
        <v>46293</v>
      </c>
      <c r="C316" s="1" t="s">
        <v>45</v>
      </c>
      <c r="D316" s="1">
        <v>1</v>
      </c>
      <c r="E316" s="1" t="s">
        <v>8</v>
      </c>
      <c r="F316" s="1" t="s">
        <v>15</v>
      </c>
      <c r="G316" s="1" t="s">
        <v>5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7.6" thickBot="1" x14ac:dyDescent="0.35">
      <c r="A317" s="1">
        <v>6</v>
      </c>
      <c r="B317" s="3">
        <v>46293</v>
      </c>
      <c r="C317" s="1" t="s">
        <v>45</v>
      </c>
      <c r="D317" s="1">
        <v>1</v>
      </c>
      <c r="E317" s="1" t="s">
        <v>8</v>
      </c>
      <c r="F317" s="1" t="s">
        <v>15</v>
      </c>
      <c r="G317" s="1" t="s">
        <v>5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7.6" thickBot="1" x14ac:dyDescent="0.35">
      <c r="A318" s="1">
        <v>7</v>
      </c>
      <c r="B318" s="3">
        <v>46293</v>
      </c>
      <c r="C318" s="1" t="s">
        <v>392</v>
      </c>
      <c r="D318" s="1">
        <v>1</v>
      </c>
      <c r="E318" s="4" t="s">
        <v>393</v>
      </c>
      <c r="F318" s="1" t="s">
        <v>49</v>
      </c>
      <c r="G318" s="1" t="s">
        <v>394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7.6" thickBot="1" x14ac:dyDescent="0.35">
      <c r="A319" s="1">
        <v>8</v>
      </c>
      <c r="B319" s="3">
        <v>46293</v>
      </c>
      <c r="C319" s="1" t="s">
        <v>45</v>
      </c>
      <c r="D319" s="1">
        <v>1</v>
      </c>
      <c r="E319" s="1" t="s">
        <v>8</v>
      </c>
      <c r="F319" s="1" t="s">
        <v>15</v>
      </c>
      <c r="G319" s="1" t="s">
        <v>5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35">
      <c r="A320" s="1">
        <v>9</v>
      </c>
      <c r="B320" s="3">
        <v>46293</v>
      </c>
      <c r="C320" s="1" t="s">
        <v>162</v>
      </c>
      <c r="D320" s="1">
        <v>1</v>
      </c>
      <c r="E320" s="9">
        <v>183345518</v>
      </c>
      <c r="F320" s="1" t="s">
        <v>4</v>
      </c>
      <c r="G320" s="1" t="s">
        <v>44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7.6" thickBot="1" x14ac:dyDescent="0.35">
      <c r="A321" s="1">
        <v>10</v>
      </c>
      <c r="B321" s="3">
        <v>46293</v>
      </c>
      <c r="C321" s="1" t="s">
        <v>45</v>
      </c>
      <c r="D321" s="1">
        <v>1</v>
      </c>
      <c r="E321" s="1" t="s">
        <v>8</v>
      </c>
      <c r="F321" s="1" t="s">
        <v>67</v>
      </c>
      <c r="G321" s="1" t="s">
        <v>50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7.6" thickBot="1" x14ac:dyDescent="0.35">
      <c r="A322" s="1">
        <v>11</v>
      </c>
      <c r="B322" s="3">
        <v>46293</v>
      </c>
      <c r="C322" s="1" t="s">
        <v>161</v>
      </c>
      <c r="D322" s="1">
        <v>0</v>
      </c>
      <c r="E322" s="1" t="s">
        <v>8</v>
      </c>
      <c r="F322" s="1" t="s">
        <v>310</v>
      </c>
      <c r="G322" s="16" t="s">
        <v>275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35">
      <c r="A323" s="1">
        <v>12</v>
      </c>
      <c r="B323" s="3">
        <v>46293</v>
      </c>
      <c r="C323" s="1" t="s">
        <v>149</v>
      </c>
      <c r="D323" s="1">
        <v>1</v>
      </c>
      <c r="E323" s="4" t="s">
        <v>395</v>
      </c>
      <c r="F323" s="1" t="s">
        <v>4</v>
      </c>
      <c r="G323" s="1" t="s">
        <v>44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54" thickBot="1" x14ac:dyDescent="0.35">
      <c r="A324" s="1">
        <v>13</v>
      </c>
      <c r="B324" s="3">
        <v>46293</v>
      </c>
      <c r="C324" s="1" t="s">
        <v>300</v>
      </c>
      <c r="D324" s="1">
        <v>1</v>
      </c>
      <c r="E324" s="1" t="s">
        <v>8</v>
      </c>
      <c r="F324" s="1" t="s">
        <v>285</v>
      </c>
      <c r="G324" s="1" t="s">
        <v>75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54" thickBot="1" x14ac:dyDescent="0.35">
      <c r="A325" s="1">
        <v>14</v>
      </c>
      <c r="B325" s="3">
        <v>46293</v>
      </c>
      <c r="C325" s="1" t="s">
        <v>138</v>
      </c>
      <c r="D325" s="1">
        <v>2</v>
      </c>
      <c r="E325" s="4" t="s">
        <v>396</v>
      </c>
      <c r="F325" s="1" t="s">
        <v>61</v>
      </c>
      <c r="G325" s="1" t="s">
        <v>140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35">
      <c r="A326" s="1">
        <v>15</v>
      </c>
      <c r="B326" s="3">
        <v>46293</v>
      </c>
      <c r="C326" s="1" t="s">
        <v>88</v>
      </c>
      <c r="D326" s="1">
        <v>1</v>
      </c>
      <c r="E326" s="4" t="s">
        <v>397</v>
      </c>
      <c r="F326" s="1" t="s">
        <v>4</v>
      </c>
      <c r="G326" s="1" t="s">
        <v>44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54" thickBot="1" x14ac:dyDescent="0.35">
      <c r="A327" s="1">
        <v>16</v>
      </c>
      <c r="B327" s="3">
        <v>46293</v>
      </c>
      <c r="C327" s="1" t="s">
        <v>398</v>
      </c>
      <c r="D327" s="1">
        <v>4</v>
      </c>
      <c r="E327" s="4" t="s">
        <v>399</v>
      </c>
      <c r="F327" s="1" t="s">
        <v>400</v>
      </c>
      <c r="G327" s="1" t="s">
        <v>401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54" thickBot="1" x14ac:dyDescent="0.35">
      <c r="A328" s="1">
        <v>17</v>
      </c>
      <c r="B328" s="3">
        <v>46293</v>
      </c>
      <c r="C328" s="1" t="s">
        <v>402</v>
      </c>
      <c r="D328" s="1">
        <v>2</v>
      </c>
      <c r="E328" s="4" t="s">
        <v>403</v>
      </c>
      <c r="F328" s="1" t="s">
        <v>61</v>
      </c>
      <c r="G328" s="1" t="s">
        <v>293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7.6" thickBot="1" x14ac:dyDescent="0.35">
      <c r="A329" s="1">
        <v>18</v>
      </c>
      <c r="B329" s="3">
        <v>46293</v>
      </c>
      <c r="C329" s="1" t="s">
        <v>404</v>
      </c>
      <c r="D329" s="1">
        <v>1</v>
      </c>
      <c r="E329" s="1" t="s">
        <v>8</v>
      </c>
      <c r="F329" s="1" t="s">
        <v>15</v>
      </c>
      <c r="G329" s="1" t="s">
        <v>5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7.6" thickBot="1" x14ac:dyDescent="0.35">
      <c r="A330" s="5">
        <v>19</v>
      </c>
      <c r="B330" s="6">
        <v>46293</v>
      </c>
      <c r="C330" s="5" t="s">
        <v>405</v>
      </c>
      <c r="D330" s="5">
        <v>0</v>
      </c>
      <c r="E330" s="5" t="s">
        <v>8</v>
      </c>
      <c r="F330" s="5" t="s">
        <v>406</v>
      </c>
      <c r="G330" s="5" t="s">
        <v>407</v>
      </c>
      <c r="H330" s="1">
        <v>26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7.6" thickBot="1" x14ac:dyDescent="0.35">
      <c r="A331" s="1">
        <v>1</v>
      </c>
      <c r="B331" s="3">
        <v>46294</v>
      </c>
      <c r="C331" s="1" t="s">
        <v>169</v>
      </c>
      <c r="D331" s="1">
        <v>1</v>
      </c>
      <c r="E331" s="1" t="s">
        <v>8</v>
      </c>
      <c r="F331" s="1" t="s">
        <v>15</v>
      </c>
      <c r="G331" s="1" t="s">
        <v>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54" thickBot="1" x14ac:dyDescent="0.35">
      <c r="A332" s="1">
        <v>2</v>
      </c>
      <c r="B332" s="3">
        <v>46294</v>
      </c>
      <c r="C332" s="1" t="s">
        <v>12</v>
      </c>
      <c r="D332" s="1">
        <v>4</v>
      </c>
      <c r="E332" s="1" t="s">
        <v>8</v>
      </c>
      <c r="F332" s="1" t="s">
        <v>41</v>
      </c>
      <c r="G332" s="1" t="s">
        <v>62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93.6" thickBot="1" x14ac:dyDescent="0.35">
      <c r="A333" s="1">
        <v>3</v>
      </c>
      <c r="B333" s="3">
        <v>46294</v>
      </c>
      <c r="C333" s="1" t="s">
        <v>408</v>
      </c>
      <c r="D333" s="1">
        <v>2</v>
      </c>
      <c r="E333" s="4" t="s">
        <v>409</v>
      </c>
      <c r="F333" s="1" t="s">
        <v>410</v>
      </c>
      <c r="G333" s="1" t="s">
        <v>411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7.6" thickBot="1" x14ac:dyDescent="0.35">
      <c r="A334" s="1">
        <v>4</v>
      </c>
      <c r="B334" s="3">
        <v>46294</v>
      </c>
      <c r="C334" s="1" t="s">
        <v>358</v>
      </c>
      <c r="D334" s="1">
        <v>1</v>
      </c>
      <c r="E334" s="1" t="s">
        <v>8</v>
      </c>
      <c r="F334" s="1" t="s">
        <v>15</v>
      </c>
      <c r="G334" s="1" t="s">
        <v>5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7.6" thickBot="1" x14ac:dyDescent="0.35">
      <c r="A335" s="1">
        <v>5</v>
      </c>
      <c r="B335" s="3">
        <v>46294</v>
      </c>
      <c r="C335" s="1" t="s">
        <v>412</v>
      </c>
      <c r="D335" s="1">
        <v>3</v>
      </c>
      <c r="E335" s="1" t="s">
        <v>8</v>
      </c>
      <c r="F335" s="1" t="s">
        <v>17</v>
      </c>
      <c r="G335" s="1" t="s">
        <v>200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54" thickBot="1" x14ac:dyDescent="0.35">
      <c r="A336" s="1">
        <v>6</v>
      </c>
      <c r="B336" s="3">
        <v>46294</v>
      </c>
      <c r="C336" s="1" t="s">
        <v>413</v>
      </c>
      <c r="D336" s="1">
        <v>1</v>
      </c>
      <c r="E336" s="4" t="s">
        <v>414</v>
      </c>
      <c r="F336" s="1" t="s">
        <v>304</v>
      </c>
      <c r="G336" s="1" t="s">
        <v>75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40.799999999999997" thickBot="1" x14ac:dyDescent="0.35">
      <c r="A337" s="1">
        <v>7</v>
      </c>
      <c r="B337" s="3">
        <v>46294</v>
      </c>
      <c r="C337" s="1" t="s">
        <v>415</v>
      </c>
      <c r="D337" s="1">
        <v>3</v>
      </c>
      <c r="E337" s="4" t="s">
        <v>416</v>
      </c>
      <c r="F337" s="1" t="s">
        <v>97</v>
      </c>
      <c r="G337" s="1" t="s">
        <v>417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35">
      <c r="A338" s="1">
        <v>8</v>
      </c>
      <c r="B338" s="3">
        <v>46294</v>
      </c>
      <c r="C338" s="1" t="s">
        <v>418</v>
      </c>
      <c r="D338" s="1">
        <v>1</v>
      </c>
      <c r="E338" s="4" t="s">
        <v>419</v>
      </c>
      <c r="F338" s="1" t="s">
        <v>4</v>
      </c>
      <c r="G338" s="1" t="s">
        <v>44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54" thickBot="1" x14ac:dyDescent="0.35">
      <c r="A339" s="1">
        <v>9</v>
      </c>
      <c r="B339" s="3">
        <v>46294</v>
      </c>
      <c r="C339" s="1" t="s">
        <v>300</v>
      </c>
      <c r="D339" s="1">
        <v>1</v>
      </c>
      <c r="E339" s="1" t="s">
        <v>8</v>
      </c>
      <c r="F339" s="1" t="s">
        <v>285</v>
      </c>
      <c r="G339" s="1" t="s">
        <v>420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7.6" thickBot="1" x14ac:dyDescent="0.35">
      <c r="A340" s="1">
        <v>10</v>
      </c>
      <c r="B340" s="3">
        <v>46294</v>
      </c>
      <c r="C340" s="1" t="s">
        <v>358</v>
      </c>
      <c r="D340" s="1">
        <v>0</v>
      </c>
      <c r="E340" s="1" t="s">
        <v>8</v>
      </c>
      <c r="F340" s="1" t="s">
        <v>406</v>
      </c>
      <c r="G340" s="16" t="s">
        <v>421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7.6" thickBot="1" x14ac:dyDescent="0.35">
      <c r="A341" s="1">
        <v>11</v>
      </c>
      <c r="B341" s="3">
        <v>46294</v>
      </c>
      <c r="C341" s="1" t="s">
        <v>161</v>
      </c>
      <c r="D341" s="1">
        <v>1</v>
      </c>
      <c r="E341" s="1" t="s">
        <v>8</v>
      </c>
      <c r="F341" s="1" t="s">
        <v>15</v>
      </c>
      <c r="G341" s="1" t="s">
        <v>50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35">
      <c r="A342" s="1">
        <v>12</v>
      </c>
      <c r="B342" s="3">
        <v>46294</v>
      </c>
      <c r="C342" s="1" t="s">
        <v>422</v>
      </c>
      <c r="D342" s="1">
        <v>1</v>
      </c>
      <c r="E342" s="9">
        <v>183382094</v>
      </c>
      <c r="F342" s="1" t="s">
        <v>15</v>
      </c>
      <c r="G342" s="1" t="s">
        <v>90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7.6" thickBot="1" x14ac:dyDescent="0.35">
      <c r="A343" s="1">
        <v>13</v>
      </c>
      <c r="B343" s="3">
        <v>46294</v>
      </c>
      <c r="C343" s="1" t="s">
        <v>45</v>
      </c>
      <c r="D343" s="1">
        <v>1</v>
      </c>
      <c r="E343" s="1" t="s">
        <v>8</v>
      </c>
      <c r="F343" s="1" t="s">
        <v>67</v>
      </c>
      <c r="G343" s="1" t="s">
        <v>50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35">
      <c r="A344" s="1">
        <v>14</v>
      </c>
      <c r="B344" s="3">
        <v>46294</v>
      </c>
      <c r="C344" s="1" t="s">
        <v>66</v>
      </c>
      <c r="D344" s="1">
        <v>1</v>
      </c>
      <c r="E344" s="1" t="s">
        <v>8</v>
      </c>
      <c r="F344" s="1" t="s">
        <v>15</v>
      </c>
      <c r="G344" s="1" t="s">
        <v>44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7.6" thickBot="1" x14ac:dyDescent="0.35">
      <c r="A345" s="1">
        <v>15</v>
      </c>
      <c r="B345" s="3">
        <v>46294</v>
      </c>
      <c r="C345" s="1" t="s">
        <v>423</v>
      </c>
      <c r="D345" s="1">
        <v>2</v>
      </c>
      <c r="E345" s="4" t="s">
        <v>424</v>
      </c>
      <c r="F345" s="1" t="s">
        <v>83</v>
      </c>
      <c r="G345" s="1" t="s">
        <v>193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35">
      <c r="A346" s="5">
        <v>16</v>
      </c>
      <c r="B346" s="6">
        <v>46294</v>
      </c>
      <c r="C346" s="5" t="s">
        <v>45</v>
      </c>
      <c r="D346" s="5">
        <v>1</v>
      </c>
      <c r="E346" s="5" t="s">
        <v>8</v>
      </c>
      <c r="F346" s="5" t="s">
        <v>15</v>
      </c>
      <c r="G346" s="5" t="s">
        <v>44</v>
      </c>
      <c r="H346" s="1">
        <v>24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76BD-D439-43A8-8CD9-E91BD9C10604}">
  <sheetPr>
    <tabColor rgb="FF4472C4"/>
  </sheetPr>
  <dimension ref="A1:N58"/>
  <sheetViews>
    <sheetView showGridLines="0" tabSelected="1" workbookViewId="0">
      <selection activeCell="A57" sqref="A57:F58"/>
    </sheetView>
  </sheetViews>
  <sheetFormatPr defaultRowHeight="14.4" x14ac:dyDescent="0.3"/>
  <cols>
    <col min="1" max="1" width="19.44140625" customWidth="1"/>
    <col min="2" max="6" width="15.21875" customWidth="1"/>
    <col min="7" max="7" width="3" customWidth="1"/>
    <col min="8" max="14" width="14.109375" customWidth="1"/>
  </cols>
  <sheetData>
    <row r="1" spans="1:14" ht="34.049999999999997" customHeight="1" x14ac:dyDescent="0.5">
      <c r="A1" s="29" t="s">
        <v>450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24" customHeight="1" x14ac:dyDescent="0.3">
      <c r="A2" s="30" t="s">
        <v>451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95" customHeight="1" x14ac:dyDescent="0.3">
      <c r="A3" s="33" t="s">
        <v>452</v>
      </c>
      <c r="B3" s="31"/>
      <c r="C3" s="31"/>
      <c r="D3" s="27"/>
      <c r="E3" s="33" t="s">
        <v>453</v>
      </c>
      <c r="F3" s="31"/>
      <c r="G3" s="31"/>
      <c r="H3" s="27"/>
      <c r="I3" s="33" t="s">
        <v>454</v>
      </c>
      <c r="J3" s="31"/>
      <c r="K3" s="31"/>
      <c r="L3" s="27"/>
      <c r="M3" s="33" t="s">
        <v>455</v>
      </c>
      <c r="N3" s="31"/>
    </row>
    <row r="4" spans="1:14" ht="19.95" customHeight="1" x14ac:dyDescent="0.45">
      <c r="A4" s="34">
        <f>SUM('September Detail'!F2:F337)</f>
        <v>421310</v>
      </c>
      <c r="B4" s="32"/>
      <c r="C4" s="32"/>
      <c r="D4" s="27"/>
      <c r="E4" s="35">
        <f>COUNTA('September Detail'!A2:A337)</f>
        <v>336</v>
      </c>
      <c r="F4" s="32"/>
      <c r="G4" s="32"/>
      <c r="H4" s="27"/>
      <c r="I4" s="36">
        <f>SUM('September Detail'!E2:E337)</f>
        <v>557.5</v>
      </c>
      <c r="J4" s="32"/>
      <c r="K4" s="32"/>
      <c r="L4" s="27"/>
      <c r="M4" s="34">
        <f>A4/E4</f>
        <v>1253.8988095238096</v>
      </c>
      <c r="N4" s="32"/>
    </row>
    <row r="5" spans="1:14" ht="19.95" customHeight="1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9.95" customHeight="1" x14ac:dyDescent="0.3">
      <c r="A6" s="37" t="s">
        <v>427</v>
      </c>
      <c r="B6" s="37" t="s">
        <v>456</v>
      </c>
      <c r="C6" s="37" t="s">
        <v>429</v>
      </c>
      <c r="D6" s="37" t="s">
        <v>428</v>
      </c>
      <c r="E6" s="37" t="s">
        <v>457</v>
      </c>
      <c r="F6" s="37" t="s">
        <v>458</v>
      </c>
      <c r="G6" s="27"/>
      <c r="H6" s="27"/>
      <c r="I6" s="27"/>
      <c r="J6" s="27"/>
      <c r="K6" s="27"/>
      <c r="L6" s="27"/>
      <c r="M6" s="27"/>
      <c r="N6" s="27"/>
    </row>
    <row r="7" spans="1:14" ht="19.95" customHeight="1" x14ac:dyDescent="0.3">
      <c r="A7" s="27" t="s">
        <v>432</v>
      </c>
      <c r="B7" s="39">
        <f>COUNTIF('September Detail'!$D$2:$D$337,A7)</f>
        <v>163</v>
      </c>
      <c r="C7" s="40">
        <f>SUMIF('September Detail'!$D$2:$D$337,A7,'September Detail'!$F$2:$F$337)</f>
        <v>192120</v>
      </c>
      <c r="D7" s="41">
        <f>SUMIF('September Detail'!$D$2:$D$337,A7,'September Detail'!$E$2:$E$337)</f>
        <v>312.5</v>
      </c>
      <c r="E7" s="40">
        <f>IFERROR(C7/B7,0)</f>
        <v>1178.6503067484662</v>
      </c>
      <c r="F7" s="42">
        <f>IFERROR(C7/$C$10,0)</f>
        <v>0.45600626616980372</v>
      </c>
      <c r="G7" s="27"/>
      <c r="H7" s="27"/>
      <c r="I7" s="27"/>
      <c r="J7" s="27"/>
      <c r="K7" s="27"/>
      <c r="L7" s="27"/>
      <c r="M7" s="27"/>
      <c r="N7" s="27"/>
    </row>
    <row r="8" spans="1:14" ht="19.95" customHeight="1" x14ac:dyDescent="0.3">
      <c r="A8" s="27" t="s">
        <v>1</v>
      </c>
      <c r="B8" s="39">
        <f>COUNTIF('September Detail'!$D$2:$D$337,A8)</f>
        <v>146</v>
      </c>
      <c r="C8" s="40">
        <f>SUMIF('September Detail'!$D$2:$D$337,A8,'September Detail'!$F$2:$F$337)</f>
        <v>198800</v>
      </c>
      <c r="D8" s="41">
        <f>SUMIF('September Detail'!$D$2:$D$337,A8,'September Detail'!$E$2:$E$337)</f>
        <v>213</v>
      </c>
      <c r="E8" s="40">
        <f>IFERROR(C8/B8,0)</f>
        <v>1361.6438356164383</v>
      </c>
      <c r="F8" s="42">
        <f>IFERROR(C8/$C$10,0)</f>
        <v>0.4718615746125181</v>
      </c>
      <c r="G8" s="27"/>
      <c r="H8" s="27"/>
      <c r="I8" s="27"/>
      <c r="J8" s="27"/>
      <c r="K8" s="27"/>
      <c r="L8" s="27"/>
      <c r="M8" s="27"/>
      <c r="N8" s="27"/>
    </row>
    <row r="9" spans="1:14" ht="19.95" customHeight="1" x14ac:dyDescent="0.3">
      <c r="A9" s="27" t="s">
        <v>6</v>
      </c>
      <c r="B9" s="39">
        <f>COUNTIF('September Detail'!$D$2:$D$337,A9)</f>
        <v>27</v>
      </c>
      <c r="C9" s="40">
        <f>SUMIF('September Detail'!$D$2:$D$337,A9,'September Detail'!$F$2:$F$337)</f>
        <v>30390</v>
      </c>
      <c r="D9" s="41">
        <f>SUMIF('September Detail'!$D$2:$D$337,A9,'September Detail'!$E$2:$E$337)</f>
        <v>32</v>
      </c>
      <c r="E9" s="40">
        <f>IFERROR(C9/B9,0)</f>
        <v>1125.5555555555557</v>
      </c>
      <c r="F9" s="42">
        <f>IFERROR(C9/$C$10,0)</f>
        <v>7.2132159217678196E-2</v>
      </c>
      <c r="G9" s="27"/>
      <c r="H9" s="27"/>
      <c r="I9" s="27"/>
      <c r="J9" s="27"/>
      <c r="K9" s="27"/>
      <c r="L9" s="27"/>
      <c r="M9" s="27"/>
      <c r="N9" s="27"/>
    </row>
    <row r="10" spans="1:14" ht="19.95" customHeight="1" x14ac:dyDescent="0.3">
      <c r="A10" s="38" t="s">
        <v>459</v>
      </c>
      <c r="B10" s="43">
        <f>SUM(B7:B9)</f>
        <v>336</v>
      </c>
      <c r="C10" s="44">
        <f>SUM(C7:C9)</f>
        <v>421310</v>
      </c>
      <c r="D10" s="45">
        <f>SUM(D7:D9)</f>
        <v>557.5</v>
      </c>
      <c r="E10" s="44">
        <f>IFERROR(C10/B10,0)</f>
        <v>1253.8988095238096</v>
      </c>
      <c r="F10" s="46">
        <f>SUM(F7:F9)</f>
        <v>1</v>
      </c>
      <c r="G10" s="27"/>
      <c r="H10" s="27"/>
      <c r="I10" s="27"/>
      <c r="J10" s="27"/>
      <c r="K10" s="27"/>
      <c r="L10" s="27"/>
      <c r="M10" s="27"/>
      <c r="N10" s="27"/>
    </row>
    <row r="11" spans="1:14" ht="19.95" customHeight="1" x14ac:dyDescent="0.3">
      <c r="A11" s="27"/>
      <c r="B11" s="39"/>
      <c r="C11" s="39"/>
      <c r="D11" s="39"/>
      <c r="E11" s="39"/>
      <c r="F11" s="39"/>
      <c r="G11" s="27"/>
      <c r="H11" s="27"/>
      <c r="I11" s="27"/>
      <c r="J11" s="27"/>
      <c r="K11" s="27"/>
      <c r="L11" s="27"/>
      <c r="M11" s="27"/>
      <c r="N11" s="27"/>
    </row>
    <row r="12" spans="1:14" ht="19.95" customHeight="1" x14ac:dyDescent="0.3">
      <c r="A12" s="27"/>
      <c r="B12" s="39"/>
      <c r="C12" s="39"/>
      <c r="D12" s="39"/>
      <c r="E12" s="39"/>
      <c r="F12" s="39"/>
      <c r="G12" s="27"/>
      <c r="H12" s="27"/>
      <c r="I12" s="27"/>
      <c r="J12" s="27"/>
      <c r="K12" s="27"/>
      <c r="L12" s="27"/>
      <c r="M12" s="27"/>
      <c r="N12" s="27"/>
    </row>
    <row r="13" spans="1:14" ht="19.95" customHeight="1" x14ac:dyDescent="0.3">
      <c r="A13" s="37" t="s">
        <v>460</v>
      </c>
      <c r="B13" s="47" t="s">
        <v>432</v>
      </c>
      <c r="C13" s="47" t="s">
        <v>1</v>
      </c>
      <c r="D13" s="47" t="s">
        <v>6</v>
      </c>
      <c r="E13" s="47" t="s">
        <v>461</v>
      </c>
      <c r="F13" s="47" t="s">
        <v>456</v>
      </c>
      <c r="G13" s="27"/>
      <c r="H13" s="27"/>
      <c r="I13" s="27"/>
      <c r="J13" s="27"/>
      <c r="K13" s="27"/>
      <c r="L13" s="27"/>
      <c r="M13" s="27"/>
      <c r="N13" s="27"/>
    </row>
    <row r="14" spans="1:14" ht="19.95" customHeight="1" x14ac:dyDescent="0.3">
      <c r="A14" s="27" t="s">
        <v>462</v>
      </c>
      <c r="B14" s="40">
        <f>SUMIFS('September Detail'!$F$2:$F$337,'September Detail'!$D$2:$D$337,"Pickup",'September Detail'!$B$2:$B$337,"&gt;="&amp;DATE(2026,9,1),'September Detail'!$B$2:$B$337,"&lt;="&amp;DATE(2026,9,6))</f>
        <v>39600</v>
      </c>
      <c r="C14" s="40">
        <f>SUMIFS('September Detail'!$F$2:$F$337,'September Detail'!$D$2:$D$337,"Uber",'September Detail'!$B$2:$B$337,"&gt;="&amp;DATE(2026,9,1),'September Detail'!$B$2:$B$337,"&lt;="&amp;DATE(2026,9,6))</f>
        <v>25840</v>
      </c>
      <c r="D14" s="40">
        <f>SUMIFS('September Detail'!$F$2:$F$337,'September Detail'!$D$2:$D$337,"PickMe",'September Detail'!$B$2:$B$337,"&gt;="&amp;DATE(2026,9,1),'September Detail'!$B$2:$B$337,"&lt;="&amp;DATE(2026,9,6))</f>
        <v>5550</v>
      </c>
      <c r="E14" s="40">
        <f>SUM(B14:D14)</f>
        <v>70990</v>
      </c>
      <c r="F14" s="48">
        <f>COUNTIFS('September Detail'!$B$2:$B$337,"&gt;="&amp;DATE(2026,9,1),'September Detail'!$B$2:$B$337,"&lt;="&amp;DATE(2026,9,6))</f>
        <v>63</v>
      </c>
      <c r="G14" s="27"/>
      <c r="H14" s="27"/>
      <c r="I14" s="27"/>
      <c r="J14" s="27"/>
      <c r="K14" s="27"/>
      <c r="L14" s="27"/>
      <c r="M14" s="27"/>
      <c r="N14" s="27"/>
    </row>
    <row r="15" spans="1:14" ht="19.95" customHeight="1" x14ac:dyDescent="0.3">
      <c r="A15" s="27" t="s">
        <v>463</v>
      </c>
      <c r="B15" s="40">
        <f>SUMIFS('September Detail'!$F$2:$F$337,'September Detail'!$D$2:$D$337,"Pickup",'September Detail'!$B$2:$B$337,"&gt;="&amp;DATE(2026,9,7),'September Detail'!$B$2:$B$337,"&lt;="&amp;DATE(2026,9,13))</f>
        <v>27800</v>
      </c>
      <c r="C15" s="40">
        <f>SUMIFS('September Detail'!$F$2:$F$337,'September Detail'!$D$2:$D$337,"Uber",'September Detail'!$B$2:$B$337,"&gt;="&amp;DATE(2026,9,7),'September Detail'!$B$2:$B$337,"&lt;="&amp;DATE(2026,9,13))</f>
        <v>41100</v>
      </c>
      <c r="D15" s="40">
        <f>SUMIFS('September Detail'!$F$2:$F$337,'September Detail'!$D$2:$D$337,"PickMe",'September Detail'!$B$2:$B$337,"&gt;="&amp;DATE(2026,9,7),'September Detail'!$B$2:$B$337,"&lt;="&amp;DATE(2026,9,13))</f>
        <v>5400</v>
      </c>
      <c r="E15" s="40">
        <f>SUM(B15:D15)</f>
        <v>74300</v>
      </c>
      <c r="F15" s="48">
        <f>COUNTIFS('September Detail'!$B$2:$B$337,"&gt;="&amp;DATE(2026,9,7),'September Detail'!$B$2:$B$337,"&lt;="&amp;DATE(2026,9,13))</f>
        <v>59</v>
      </c>
      <c r="G15" s="27"/>
      <c r="H15" s="27"/>
      <c r="I15" s="27"/>
      <c r="J15" s="27"/>
      <c r="K15" s="27"/>
      <c r="L15" s="27"/>
      <c r="M15" s="27"/>
      <c r="N15" s="27"/>
    </row>
    <row r="16" spans="1:14" ht="19.95" customHeight="1" x14ac:dyDescent="0.3">
      <c r="A16" s="27" t="s">
        <v>464</v>
      </c>
      <c r="B16" s="40">
        <f>SUMIFS('September Detail'!$F$2:$F$337,'September Detail'!$D$2:$D$337,"Pickup",'September Detail'!$B$2:$B$337,"&gt;="&amp;DATE(2026,9,14),'September Detail'!$B$2:$B$337,"&lt;="&amp;DATE(2026,9,20))</f>
        <v>51220</v>
      </c>
      <c r="C16" s="40">
        <f>SUMIFS('September Detail'!$F$2:$F$337,'September Detail'!$D$2:$D$337,"Uber",'September Detail'!$B$2:$B$337,"&gt;="&amp;DATE(2026,9,14),'September Detail'!$B$2:$B$337,"&lt;="&amp;DATE(2026,9,20))</f>
        <v>48760</v>
      </c>
      <c r="D16" s="40">
        <f>SUMIFS('September Detail'!$F$2:$F$337,'September Detail'!$D$2:$D$337,"PickMe",'September Detail'!$B$2:$B$337,"&gt;="&amp;DATE(2026,9,14),'September Detail'!$B$2:$B$337,"&lt;="&amp;DATE(2026,9,20))</f>
        <v>7200</v>
      </c>
      <c r="E16" s="40">
        <f>SUM(B16:D16)</f>
        <v>107180</v>
      </c>
      <c r="F16" s="48">
        <f>COUNTIFS('September Detail'!$B$2:$B$337,"&gt;="&amp;DATE(2026,9,14),'September Detail'!$B$2:$B$337,"&lt;="&amp;DATE(2026,9,20))</f>
        <v>79</v>
      </c>
      <c r="G16" s="27"/>
      <c r="H16" s="27"/>
      <c r="I16" s="27"/>
      <c r="J16" s="27"/>
      <c r="K16" s="27"/>
      <c r="L16" s="27"/>
      <c r="M16" s="27"/>
      <c r="N16" s="27"/>
    </row>
    <row r="17" spans="1:14" ht="19.95" customHeight="1" x14ac:dyDescent="0.3">
      <c r="A17" s="27" t="s">
        <v>465</v>
      </c>
      <c r="B17" s="40">
        <f>SUMIFS('September Detail'!$F$2:$F$337,'September Detail'!$D$2:$D$337,"Pickup",'September Detail'!$B$2:$B$337,"&gt;="&amp;DATE(2026,9,21),'September Detail'!$B$2:$B$337,"&lt;="&amp;DATE(2026,9,27))</f>
        <v>55740</v>
      </c>
      <c r="C17" s="40">
        <f>SUMIFS('September Detail'!$F$2:$F$337,'September Detail'!$D$2:$D$337,"Uber",'September Detail'!$B$2:$B$337,"&gt;="&amp;DATE(2026,9,21),'September Detail'!$B$2:$B$337,"&lt;="&amp;DATE(2026,9,27))</f>
        <v>59610</v>
      </c>
      <c r="D17" s="40">
        <f>SUMIFS('September Detail'!$F$2:$F$337,'September Detail'!$D$2:$D$337,"PickMe",'September Detail'!$B$2:$B$337,"&gt;="&amp;DATE(2026,9,21),'September Detail'!$B$2:$B$337,"&lt;="&amp;DATE(2026,9,27))</f>
        <v>10640</v>
      </c>
      <c r="E17" s="40">
        <f>SUM(B17:D17)</f>
        <v>125990</v>
      </c>
      <c r="F17" s="48">
        <f>COUNTIFS('September Detail'!$B$2:$B$337,"&gt;="&amp;DATE(2026,9,21),'September Detail'!$B$2:$B$337,"&lt;="&amp;DATE(2026,9,27))</f>
        <v>100</v>
      </c>
      <c r="G17" s="27"/>
      <c r="H17" s="27"/>
      <c r="I17" s="27"/>
      <c r="J17" s="27"/>
      <c r="K17" s="27"/>
      <c r="L17" s="27"/>
      <c r="M17" s="27"/>
      <c r="N17" s="27"/>
    </row>
    <row r="18" spans="1:14" ht="19.95" customHeight="1" x14ac:dyDescent="0.3">
      <c r="A18" s="27" t="s">
        <v>466</v>
      </c>
      <c r="B18" s="40">
        <f>SUMIFS('September Detail'!$F$2:$F$337,'September Detail'!$D$2:$D$337,"Pickup",'September Detail'!$B$2:$B$337,"&gt;="&amp;DATE(2026,9,28),'September Detail'!$B$2:$B$337,"&lt;="&amp;DATE(2026,9,30))</f>
        <v>17760</v>
      </c>
      <c r="C18" s="40">
        <f>SUMIFS('September Detail'!$F$2:$F$337,'September Detail'!$D$2:$D$337,"Uber",'September Detail'!$B$2:$B$337,"&gt;="&amp;DATE(2026,9,28),'September Detail'!$B$2:$B$337,"&lt;="&amp;DATE(2026,9,30))</f>
        <v>23490</v>
      </c>
      <c r="D18" s="40">
        <f>SUMIFS('September Detail'!$F$2:$F$337,'September Detail'!$D$2:$D$337,"PickMe",'September Detail'!$B$2:$B$337,"&gt;="&amp;DATE(2026,9,28),'September Detail'!$B$2:$B$337,"&lt;="&amp;DATE(2026,9,30))</f>
        <v>1600</v>
      </c>
      <c r="E18" s="40">
        <f>SUM(B18:D18)</f>
        <v>42850</v>
      </c>
      <c r="F18" s="48">
        <f>COUNTIFS('September Detail'!$B$2:$B$337,"&gt;="&amp;DATE(2026,9,28),'September Detail'!$B$2:$B$337,"&lt;="&amp;DATE(2026,9,30))</f>
        <v>35</v>
      </c>
      <c r="G18" s="27"/>
      <c r="H18" s="27"/>
      <c r="I18" s="27"/>
      <c r="J18" s="27"/>
      <c r="K18" s="27"/>
      <c r="L18" s="27"/>
      <c r="M18" s="27"/>
      <c r="N18" s="27"/>
    </row>
    <row r="19" spans="1:14" ht="19.95" customHeight="1" x14ac:dyDescent="0.3">
      <c r="A19" s="38" t="s">
        <v>459</v>
      </c>
      <c r="B19" s="44">
        <f>SUM(B14:B18)</f>
        <v>192120</v>
      </c>
      <c r="C19" s="44">
        <f>SUM(C14:C18)</f>
        <v>198800</v>
      </c>
      <c r="D19" s="44">
        <f>SUM(D14:D18)</f>
        <v>30390</v>
      </c>
      <c r="E19" s="44">
        <f>SUM(E14:E18)</f>
        <v>421310</v>
      </c>
      <c r="F19" s="49">
        <f>SUM(F14:F18)</f>
        <v>336</v>
      </c>
      <c r="G19" s="27"/>
      <c r="H19" s="27"/>
      <c r="I19" s="27"/>
      <c r="J19" s="27"/>
      <c r="K19" s="27"/>
      <c r="L19" s="27"/>
      <c r="M19" s="27"/>
      <c r="N19" s="27"/>
    </row>
    <row r="20" spans="1:14" ht="19.95" customHeight="1" x14ac:dyDescent="0.3">
      <c r="A20" s="27"/>
      <c r="B20" s="39"/>
      <c r="C20" s="39"/>
      <c r="D20" s="39"/>
      <c r="E20" s="39"/>
      <c r="F20" s="39"/>
      <c r="G20" s="27"/>
      <c r="H20" s="27"/>
      <c r="I20" s="27"/>
      <c r="J20" s="27"/>
      <c r="K20" s="27"/>
      <c r="L20" s="27"/>
      <c r="M20" s="27"/>
      <c r="N20" s="27"/>
    </row>
    <row r="21" spans="1:14" ht="19.95" customHeight="1" x14ac:dyDescent="0.3">
      <c r="A21" s="27"/>
      <c r="B21" s="39"/>
      <c r="C21" s="39"/>
      <c r="D21" s="39"/>
      <c r="E21" s="39"/>
      <c r="F21" s="39"/>
      <c r="G21" s="27"/>
      <c r="H21" s="27"/>
      <c r="I21" s="27"/>
      <c r="J21" s="27"/>
      <c r="K21" s="27"/>
      <c r="L21" s="27"/>
      <c r="M21" s="27"/>
      <c r="N21" s="27"/>
    </row>
    <row r="22" spans="1:14" ht="19.95" customHeight="1" x14ac:dyDescent="0.3">
      <c r="A22" s="37" t="s">
        <v>426</v>
      </c>
      <c r="B22" s="47" t="s">
        <v>432</v>
      </c>
      <c r="C22" s="47" t="s">
        <v>1</v>
      </c>
      <c r="D22" s="47" t="s">
        <v>6</v>
      </c>
      <c r="E22" s="47" t="s">
        <v>461</v>
      </c>
      <c r="F22" s="47" t="s">
        <v>456</v>
      </c>
      <c r="G22" s="27"/>
      <c r="H22" s="27"/>
      <c r="I22" s="27"/>
      <c r="J22" s="27"/>
      <c r="K22" s="27"/>
      <c r="L22" s="27"/>
      <c r="M22" s="27"/>
      <c r="N22" s="27"/>
    </row>
    <row r="23" spans="1:14" ht="19.95" customHeight="1" x14ac:dyDescent="0.3">
      <c r="A23" s="28">
        <v>46266</v>
      </c>
      <c r="B23" s="40">
        <f>SUMIFS('September Detail'!$F$2:$F$337,'September Detail'!$D$2:$D$337,"Pickup",'September Detail'!$B$2:$B$337,$A23)</f>
        <v>9000</v>
      </c>
      <c r="C23" s="40">
        <f>SUMIFS('September Detail'!$F$2:$F$337,'September Detail'!$D$2:$D$337,"Uber",'September Detail'!$B$2:$B$337,$A23)</f>
        <v>4750</v>
      </c>
      <c r="D23" s="40">
        <f>SUMIFS('September Detail'!$F$2:$F$337,'September Detail'!$D$2:$D$337,"PickMe",'September Detail'!$B$2:$B$337,$A23)</f>
        <v>0</v>
      </c>
      <c r="E23" s="40">
        <f>SUM(B23:D23)</f>
        <v>13750</v>
      </c>
      <c r="F23" s="48">
        <f>COUNTIF('September Detail'!$B$2:$B$337,$A23)</f>
        <v>13</v>
      </c>
      <c r="G23" s="27"/>
      <c r="H23" s="27"/>
      <c r="I23" s="27"/>
      <c r="J23" s="27"/>
      <c r="K23" s="27"/>
      <c r="L23" s="27"/>
      <c r="M23" s="27"/>
      <c r="N23" s="27"/>
    </row>
    <row r="24" spans="1:14" ht="19.95" customHeight="1" x14ac:dyDescent="0.3">
      <c r="A24" s="28">
        <v>46267</v>
      </c>
      <c r="B24" s="40">
        <f>SUMIFS('September Detail'!$F$2:$F$337,'September Detail'!$D$2:$D$337,"Pickup",'September Detail'!$B$2:$B$337,$A24)</f>
        <v>11250</v>
      </c>
      <c r="C24" s="40">
        <f>SUMIFS('September Detail'!$F$2:$F$337,'September Detail'!$D$2:$D$337,"Uber",'September Detail'!$B$2:$B$337,$A24)</f>
        <v>4600</v>
      </c>
      <c r="D24" s="40">
        <f>SUMIFS('September Detail'!$F$2:$F$337,'September Detail'!$D$2:$D$337,"PickMe",'September Detail'!$B$2:$B$337,$A24)</f>
        <v>1900</v>
      </c>
      <c r="E24" s="40">
        <f>SUM(B24:D24)</f>
        <v>17750</v>
      </c>
      <c r="F24" s="48">
        <f>COUNTIF('September Detail'!$B$2:$B$337,$A24)</f>
        <v>17</v>
      </c>
      <c r="G24" s="27"/>
      <c r="H24" s="27"/>
      <c r="I24" s="27"/>
      <c r="J24" s="27"/>
      <c r="K24" s="27"/>
      <c r="L24" s="27"/>
      <c r="M24" s="27"/>
      <c r="N24" s="27"/>
    </row>
    <row r="25" spans="1:14" ht="19.95" customHeight="1" x14ac:dyDescent="0.3">
      <c r="A25" s="28">
        <v>46268</v>
      </c>
      <c r="B25" s="40">
        <f>SUMIFS('September Detail'!$F$2:$F$337,'September Detail'!$D$2:$D$337,"Pickup",'September Detail'!$B$2:$B$337,$A25)</f>
        <v>8400</v>
      </c>
      <c r="C25" s="40">
        <f>SUMIFS('September Detail'!$F$2:$F$337,'September Detail'!$D$2:$D$337,"Uber",'September Detail'!$B$2:$B$337,$A25)</f>
        <v>7300</v>
      </c>
      <c r="D25" s="40">
        <f>SUMIFS('September Detail'!$F$2:$F$337,'September Detail'!$D$2:$D$337,"PickMe",'September Detail'!$B$2:$B$337,$A25)</f>
        <v>2850</v>
      </c>
      <c r="E25" s="40">
        <f>SUM(B25:D25)</f>
        <v>18550</v>
      </c>
      <c r="F25" s="48">
        <f>COUNTIF('September Detail'!$B$2:$B$337,$A25)</f>
        <v>17</v>
      </c>
      <c r="G25" s="27"/>
      <c r="H25" s="27"/>
      <c r="I25" s="27"/>
      <c r="J25" s="27"/>
      <c r="K25" s="27"/>
      <c r="L25" s="27"/>
      <c r="M25" s="27"/>
      <c r="N25" s="27"/>
    </row>
    <row r="26" spans="1:14" ht="19.95" customHeight="1" x14ac:dyDescent="0.3">
      <c r="A26" s="28">
        <v>46269</v>
      </c>
      <c r="B26" s="40">
        <f>SUMIFS('September Detail'!$F$2:$F$337,'September Detail'!$D$2:$D$337,"Pickup",'September Detail'!$B$2:$B$337,$A26)</f>
        <v>10950</v>
      </c>
      <c r="C26" s="40">
        <f>SUMIFS('September Detail'!$F$2:$F$337,'September Detail'!$D$2:$D$337,"Uber",'September Detail'!$B$2:$B$337,$A26)</f>
        <v>9190</v>
      </c>
      <c r="D26" s="40">
        <f>SUMIFS('September Detail'!$F$2:$F$337,'September Detail'!$D$2:$D$337,"PickMe",'September Detail'!$B$2:$B$337,$A26)</f>
        <v>800</v>
      </c>
      <c r="E26" s="40">
        <f>SUM(B26:D26)</f>
        <v>20940</v>
      </c>
      <c r="F26" s="48">
        <f>COUNTIF('September Detail'!$B$2:$B$337,$A26)</f>
        <v>16</v>
      </c>
      <c r="G26" s="27"/>
      <c r="H26" s="27"/>
      <c r="I26" s="27"/>
      <c r="J26" s="27"/>
      <c r="K26" s="27"/>
      <c r="L26" s="27"/>
      <c r="M26" s="27"/>
      <c r="N26" s="27"/>
    </row>
    <row r="27" spans="1:14" ht="19.95" customHeight="1" x14ac:dyDescent="0.3">
      <c r="A27" s="28">
        <v>46272</v>
      </c>
      <c r="B27" s="40">
        <f>SUMIFS('September Detail'!$F$2:$F$337,'September Detail'!$D$2:$D$337,"Pickup",'September Detail'!$B$2:$B$337,$A27)</f>
        <v>5800</v>
      </c>
      <c r="C27" s="40">
        <f>SUMIFS('September Detail'!$F$2:$F$337,'September Detail'!$D$2:$D$337,"Uber",'September Detail'!$B$2:$B$337,$A27)</f>
        <v>14450</v>
      </c>
      <c r="D27" s="40">
        <f>SUMIFS('September Detail'!$F$2:$F$337,'September Detail'!$D$2:$D$337,"PickMe",'September Detail'!$B$2:$B$337,$A27)</f>
        <v>0</v>
      </c>
      <c r="E27" s="40">
        <f>SUM(B27:D27)</f>
        <v>20250</v>
      </c>
      <c r="F27" s="48">
        <f>COUNTIF('September Detail'!$B$2:$B$337,$A27)</f>
        <v>18</v>
      </c>
      <c r="G27" s="27"/>
      <c r="H27" s="27"/>
      <c r="I27" s="27"/>
      <c r="J27" s="27"/>
      <c r="K27" s="27"/>
      <c r="L27" s="27"/>
      <c r="M27" s="27"/>
      <c r="N27" s="27"/>
    </row>
    <row r="28" spans="1:14" ht="19.95" customHeight="1" x14ac:dyDescent="0.3">
      <c r="A28" s="28">
        <v>46273</v>
      </c>
      <c r="B28" s="40">
        <f>SUMIFS('September Detail'!$F$2:$F$337,'September Detail'!$D$2:$D$337,"Pickup",'September Detail'!$B$2:$B$337,$A28)</f>
        <v>9600</v>
      </c>
      <c r="C28" s="40">
        <f>SUMIFS('September Detail'!$F$2:$F$337,'September Detail'!$D$2:$D$337,"Uber",'September Detail'!$B$2:$B$337,$A28)</f>
        <v>4600</v>
      </c>
      <c r="D28" s="40">
        <f>SUMIFS('September Detail'!$F$2:$F$337,'September Detail'!$D$2:$D$337,"PickMe",'September Detail'!$B$2:$B$337,$A28)</f>
        <v>2700</v>
      </c>
      <c r="E28" s="40">
        <f>SUM(B28:D28)</f>
        <v>16900</v>
      </c>
      <c r="F28" s="48">
        <f>COUNTIF('September Detail'!$B$2:$B$337,$A28)</f>
        <v>12</v>
      </c>
      <c r="G28" s="27"/>
      <c r="H28" s="27"/>
      <c r="I28" s="27"/>
      <c r="J28" s="27"/>
      <c r="K28" s="27"/>
      <c r="L28" s="27"/>
      <c r="M28" s="27"/>
      <c r="N28" s="27"/>
    </row>
    <row r="29" spans="1:14" ht="19.95" customHeight="1" x14ac:dyDescent="0.3">
      <c r="A29" s="28">
        <v>46274</v>
      </c>
      <c r="B29" s="40">
        <f>SUMIFS('September Detail'!$F$2:$F$337,'September Detail'!$D$2:$D$337,"Pickup",'September Detail'!$B$2:$B$337,$A29)</f>
        <v>6550</v>
      </c>
      <c r="C29" s="40">
        <f>SUMIFS('September Detail'!$F$2:$F$337,'September Detail'!$D$2:$D$337,"Uber",'September Detail'!$B$2:$B$337,$A29)</f>
        <v>8100</v>
      </c>
      <c r="D29" s="40">
        <f>SUMIFS('September Detail'!$F$2:$F$337,'September Detail'!$D$2:$D$337,"PickMe",'September Detail'!$B$2:$B$337,$A29)</f>
        <v>2700</v>
      </c>
      <c r="E29" s="40">
        <f>SUM(B29:D29)</f>
        <v>17350</v>
      </c>
      <c r="F29" s="48">
        <f>COUNTIF('September Detail'!$B$2:$B$337,$A29)</f>
        <v>17</v>
      </c>
      <c r="G29" s="27"/>
      <c r="H29" s="27"/>
      <c r="I29" s="27"/>
      <c r="J29" s="27"/>
      <c r="K29" s="27"/>
      <c r="L29" s="27"/>
      <c r="M29" s="27"/>
      <c r="N29" s="27"/>
    </row>
    <row r="30" spans="1:14" ht="19.95" customHeight="1" x14ac:dyDescent="0.3">
      <c r="A30" s="28">
        <v>46276</v>
      </c>
      <c r="B30" s="40">
        <f>SUMIFS('September Detail'!$F$2:$F$337,'September Detail'!$D$2:$D$337,"Pickup",'September Detail'!$B$2:$B$337,$A30)</f>
        <v>5850</v>
      </c>
      <c r="C30" s="40">
        <f>SUMIFS('September Detail'!$F$2:$F$337,'September Detail'!$D$2:$D$337,"Uber",'September Detail'!$B$2:$B$337,$A30)</f>
        <v>13950</v>
      </c>
      <c r="D30" s="40">
        <f>SUMIFS('September Detail'!$F$2:$F$337,'September Detail'!$D$2:$D$337,"PickMe",'September Detail'!$B$2:$B$337,$A30)</f>
        <v>0</v>
      </c>
      <c r="E30" s="40">
        <f>SUM(B30:D30)</f>
        <v>19800</v>
      </c>
      <c r="F30" s="48">
        <f>COUNTIF('September Detail'!$B$2:$B$337,$A30)</f>
        <v>12</v>
      </c>
      <c r="G30" s="27"/>
      <c r="H30" s="27"/>
      <c r="I30" s="27"/>
      <c r="J30" s="27"/>
      <c r="K30" s="27"/>
      <c r="L30" s="27"/>
      <c r="M30" s="27"/>
      <c r="N30" s="27"/>
    </row>
    <row r="31" spans="1:14" ht="19.95" customHeight="1" x14ac:dyDescent="0.3">
      <c r="A31" s="28">
        <v>46279</v>
      </c>
      <c r="B31" s="40">
        <f>SUMIFS('September Detail'!$F$2:$F$337,'September Detail'!$D$2:$D$337,"Pickup",'September Detail'!$B$2:$B$337,$A31)</f>
        <v>8950</v>
      </c>
      <c r="C31" s="40">
        <f>SUMIFS('September Detail'!$F$2:$F$337,'September Detail'!$D$2:$D$337,"Uber",'September Detail'!$B$2:$B$337,$A31)</f>
        <v>5400</v>
      </c>
      <c r="D31" s="40">
        <f>SUMIFS('September Detail'!$F$2:$F$337,'September Detail'!$D$2:$D$337,"PickMe",'September Detail'!$B$2:$B$337,$A31)</f>
        <v>4450</v>
      </c>
      <c r="E31" s="40">
        <f>SUM(B31:D31)</f>
        <v>18800</v>
      </c>
      <c r="F31" s="48">
        <f>COUNTIF('September Detail'!$B$2:$B$337,$A31)</f>
        <v>15</v>
      </c>
      <c r="G31" s="27"/>
      <c r="H31" s="27"/>
      <c r="I31" s="27"/>
      <c r="J31" s="27"/>
      <c r="K31" s="27"/>
      <c r="L31" s="27"/>
      <c r="M31" s="27"/>
      <c r="N31" s="27"/>
    </row>
    <row r="32" spans="1:14" ht="19.95" customHeight="1" x14ac:dyDescent="0.3">
      <c r="A32" s="28">
        <v>46280</v>
      </c>
      <c r="B32" s="40">
        <f>SUMIFS('September Detail'!$F$2:$F$337,'September Detail'!$D$2:$D$337,"Pickup",'September Detail'!$B$2:$B$337,$A32)</f>
        <v>8250</v>
      </c>
      <c r="C32" s="40">
        <f>SUMIFS('September Detail'!$F$2:$F$337,'September Detail'!$D$2:$D$337,"Uber",'September Detail'!$B$2:$B$337,$A32)</f>
        <v>11750</v>
      </c>
      <c r="D32" s="40">
        <f>SUMIFS('September Detail'!$F$2:$F$337,'September Detail'!$D$2:$D$337,"PickMe",'September Detail'!$B$2:$B$337,$A32)</f>
        <v>850</v>
      </c>
      <c r="E32" s="40">
        <f>SUM(B32:D32)</f>
        <v>20850</v>
      </c>
      <c r="F32" s="48">
        <f>COUNTIF('September Detail'!$B$2:$B$337,$A32)</f>
        <v>14</v>
      </c>
      <c r="G32" s="27"/>
      <c r="H32" s="27"/>
      <c r="I32" s="27"/>
      <c r="J32" s="27"/>
      <c r="K32" s="27"/>
      <c r="L32" s="27"/>
      <c r="M32" s="27"/>
      <c r="N32" s="27"/>
    </row>
    <row r="33" spans="1:14" ht="19.95" customHeight="1" x14ac:dyDescent="0.3">
      <c r="A33" s="28">
        <v>46281</v>
      </c>
      <c r="B33" s="40">
        <f>SUMIFS('September Detail'!$F$2:$F$337,'September Detail'!$D$2:$D$337,"Pickup",'September Detail'!$B$2:$B$337,$A33)</f>
        <v>12760</v>
      </c>
      <c r="C33" s="40">
        <f>SUMIFS('September Detail'!$F$2:$F$337,'September Detail'!$D$2:$D$337,"Uber",'September Detail'!$B$2:$B$337,$A33)</f>
        <v>9350</v>
      </c>
      <c r="D33" s="40">
        <f>SUMIFS('September Detail'!$F$2:$F$337,'September Detail'!$D$2:$D$337,"PickMe",'September Detail'!$B$2:$B$337,$A33)</f>
        <v>1900</v>
      </c>
      <c r="E33" s="40">
        <f>SUM(B33:D33)</f>
        <v>24010</v>
      </c>
      <c r="F33" s="48">
        <f>COUNTIF('September Detail'!$B$2:$B$337,$A33)</f>
        <v>20</v>
      </c>
      <c r="G33" s="27"/>
      <c r="H33" s="27"/>
      <c r="I33" s="27"/>
      <c r="J33" s="27"/>
      <c r="K33" s="27"/>
      <c r="L33" s="27"/>
      <c r="M33" s="27"/>
      <c r="N33" s="27"/>
    </row>
    <row r="34" spans="1:14" ht="19.95" customHeight="1" x14ac:dyDescent="0.3">
      <c r="A34" s="28">
        <v>46282</v>
      </c>
      <c r="B34" s="40">
        <f>SUMIFS('September Detail'!$F$2:$F$337,'September Detail'!$D$2:$D$337,"Pickup",'September Detail'!$B$2:$B$337,$A34)</f>
        <v>7880</v>
      </c>
      <c r="C34" s="40">
        <f>SUMIFS('September Detail'!$F$2:$F$337,'September Detail'!$D$2:$D$337,"Uber",'September Detail'!$B$2:$B$337,$A34)</f>
        <v>8610</v>
      </c>
      <c r="D34" s="40">
        <f>SUMIFS('September Detail'!$F$2:$F$337,'September Detail'!$D$2:$D$337,"PickMe",'September Detail'!$B$2:$B$337,$A34)</f>
        <v>0</v>
      </c>
      <c r="E34" s="40">
        <f>SUM(B34:D34)</f>
        <v>16490</v>
      </c>
      <c r="F34" s="48">
        <f>COUNTIF('September Detail'!$B$2:$B$337,$A34)</f>
        <v>13</v>
      </c>
      <c r="G34" s="27"/>
      <c r="H34" s="27"/>
      <c r="I34" s="27"/>
      <c r="J34" s="27"/>
      <c r="K34" s="27"/>
      <c r="L34" s="27"/>
      <c r="M34" s="27"/>
      <c r="N34" s="27"/>
    </row>
    <row r="35" spans="1:14" ht="19.95" customHeight="1" x14ac:dyDescent="0.3">
      <c r="A35" s="28">
        <v>46283</v>
      </c>
      <c r="B35" s="40">
        <f>SUMIFS('September Detail'!$F$2:$F$337,'September Detail'!$D$2:$D$337,"Pickup",'September Detail'!$B$2:$B$337,$A35)</f>
        <v>10880</v>
      </c>
      <c r="C35" s="40">
        <f>SUMIFS('September Detail'!$F$2:$F$337,'September Detail'!$D$2:$D$337,"Uber",'September Detail'!$B$2:$B$337,$A35)</f>
        <v>11100</v>
      </c>
      <c r="D35" s="40">
        <f>SUMIFS('September Detail'!$F$2:$F$337,'September Detail'!$D$2:$D$337,"PickMe",'September Detail'!$B$2:$B$337,$A35)</f>
        <v>0</v>
      </c>
      <c r="E35" s="40">
        <f>SUM(B35:D35)</f>
        <v>21980</v>
      </c>
      <c r="F35" s="48">
        <f>COUNTIF('September Detail'!$B$2:$B$337,$A35)</f>
        <v>12</v>
      </c>
      <c r="G35" s="27"/>
      <c r="H35" s="27"/>
      <c r="I35" s="27"/>
      <c r="J35" s="27"/>
      <c r="K35" s="27"/>
      <c r="L35" s="27"/>
      <c r="M35" s="27"/>
      <c r="N35" s="27"/>
    </row>
    <row r="36" spans="1:14" ht="19.95" customHeight="1" x14ac:dyDescent="0.3">
      <c r="A36" s="28">
        <v>46285</v>
      </c>
      <c r="B36" s="40">
        <f>SUMIFS('September Detail'!$F$2:$F$337,'September Detail'!$D$2:$D$337,"Pickup",'September Detail'!$B$2:$B$337,$A36)</f>
        <v>2500</v>
      </c>
      <c r="C36" s="40">
        <f>SUMIFS('September Detail'!$F$2:$F$337,'September Detail'!$D$2:$D$337,"Uber",'September Detail'!$B$2:$B$337,$A36)</f>
        <v>2550</v>
      </c>
      <c r="D36" s="40">
        <f>SUMIFS('September Detail'!$F$2:$F$337,'September Detail'!$D$2:$D$337,"PickMe",'September Detail'!$B$2:$B$337,$A36)</f>
        <v>0</v>
      </c>
      <c r="E36" s="40">
        <f>SUM(B36:D36)</f>
        <v>5050</v>
      </c>
      <c r="F36" s="48">
        <f>COUNTIF('September Detail'!$B$2:$B$337,$A36)</f>
        <v>5</v>
      </c>
      <c r="G36" s="27"/>
      <c r="H36" s="27"/>
      <c r="I36" s="27"/>
      <c r="J36" s="27"/>
      <c r="K36" s="27"/>
      <c r="L36" s="27"/>
      <c r="M36" s="27"/>
      <c r="N36" s="27"/>
    </row>
    <row r="37" spans="1:14" ht="19.95" customHeight="1" x14ac:dyDescent="0.3">
      <c r="A37" s="28">
        <v>46286</v>
      </c>
      <c r="B37" s="40">
        <f>SUMIFS('September Detail'!$F$2:$F$337,'September Detail'!$D$2:$D$337,"Pickup",'September Detail'!$B$2:$B$337,$A37)</f>
        <v>10780</v>
      </c>
      <c r="C37" s="40">
        <f>SUMIFS('September Detail'!$F$2:$F$337,'September Detail'!$D$2:$D$337,"Uber",'September Detail'!$B$2:$B$337,$A37)</f>
        <v>13180</v>
      </c>
      <c r="D37" s="40">
        <f>SUMIFS('September Detail'!$F$2:$F$337,'September Detail'!$D$2:$D$337,"PickMe",'September Detail'!$B$2:$B$337,$A37)</f>
        <v>0</v>
      </c>
      <c r="E37" s="40">
        <f>SUM(B37:D37)</f>
        <v>23960</v>
      </c>
      <c r="F37" s="48">
        <f>COUNTIF('September Detail'!$B$2:$B$337,$A37)</f>
        <v>20</v>
      </c>
      <c r="G37" s="27"/>
      <c r="H37" s="27"/>
      <c r="I37" s="27"/>
      <c r="J37" s="27"/>
      <c r="K37" s="27"/>
      <c r="L37" s="27"/>
      <c r="M37" s="27"/>
      <c r="N37" s="27"/>
    </row>
    <row r="38" spans="1:14" ht="19.95" customHeight="1" x14ac:dyDescent="0.3">
      <c r="A38" s="28">
        <v>46287</v>
      </c>
      <c r="B38" s="40">
        <f>SUMIFS('September Detail'!$F$2:$F$337,'September Detail'!$D$2:$D$337,"Pickup",'September Detail'!$B$2:$B$337,$A38)</f>
        <v>6310</v>
      </c>
      <c r="C38" s="40">
        <f>SUMIFS('September Detail'!$F$2:$F$337,'September Detail'!$D$2:$D$337,"Uber",'September Detail'!$B$2:$B$337,$A38)</f>
        <v>15590</v>
      </c>
      <c r="D38" s="40">
        <f>SUMIFS('September Detail'!$F$2:$F$337,'September Detail'!$D$2:$D$337,"PickMe",'September Detail'!$B$2:$B$337,$A38)</f>
        <v>950</v>
      </c>
      <c r="E38" s="40">
        <f>SUM(B38:D38)</f>
        <v>22850</v>
      </c>
      <c r="F38" s="48">
        <f>COUNTIF('September Detail'!$B$2:$B$337,$A38)</f>
        <v>18</v>
      </c>
      <c r="G38" s="27"/>
      <c r="H38" s="27"/>
      <c r="I38" s="27"/>
      <c r="J38" s="27"/>
      <c r="K38" s="27"/>
      <c r="L38" s="27"/>
      <c r="M38" s="27"/>
      <c r="N38" s="27"/>
    </row>
    <row r="39" spans="1:14" ht="19.95" customHeight="1" x14ac:dyDescent="0.3">
      <c r="A39" s="28">
        <v>46288</v>
      </c>
      <c r="B39" s="40">
        <f>SUMIFS('September Detail'!$F$2:$F$337,'September Detail'!$D$2:$D$337,"Pickup",'September Detail'!$B$2:$B$337,$A39)</f>
        <v>11870</v>
      </c>
      <c r="C39" s="40">
        <f>SUMIFS('September Detail'!$F$2:$F$337,'September Detail'!$D$2:$D$337,"Uber",'September Detail'!$B$2:$B$337,$A39)</f>
        <v>9530</v>
      </c>
      <c r="D39" s="40">
        <f>SUMIFS('September Detail'!$F$2:$F$337,'September Detail'!$D$2:$D$337,"PickMe",'September Detail'!$B$2:$B$337,$A39)</f>
        <v>3980</v>
      </c>
      <c r="E39" s="40">
        <f>SUM(B39:D39)</f>
        <v>25380</v>
      </c>
      <c r="F39" s="48">
        <f>COUNTIF('September Detail'!$B$2:$B$337,$A39)</f>
        <v>19</v>
      </c>
      <c r="G39" s="27"/>
      <c r="H39" s="27"/>
      <c r="I39" s="27"/>
      <c r="J39" s="27"/>
      <c r="K39" s="27"/>
      <c r="L39" s="27"/>
      <c r="M39" s="27"/>
      <c r="N39" s="27"/>
    </row>
    <row r="40" spans="1:14" ht="19.95" customHeight="1" x14ac:dyDescent="0.3">
      <c r="A40" s="28">
        <v>46289</v>
      </c>
      <c r="B40" s="40">
        <f>SUMIFS('September Detail'!$F$2:$F$337,'September Detail'!$D$2:$D$337,"Pickup",'September Detail'!$B$2:$B$337,$A40)</f>
        <v>12860</v>
      </c>
      <c r="C40" s="40">
        <f>SUMIFS('September Detail'!$F$2:$F$337,'September Detail'!$D$2:$D$337,"Uber",'September Detail'!$B$2:$B$337,$A40)</f>
        <v>12410</v>
      </c>
      <c r="D40" s="40">
        <f>SUMIFS('September Detail'!$F$2:$F$337,'September Detail'!$D$2:$D$337,"PickMe",'September Detail'!$B$2:$B$337,$A40)</f>
        <v>950</v>
      </c>
      <c r="E40" s="40">
        <f>SUM(B40:D40)</f>
        <v>26220</v>
      </c>
      <c r="F40" s="48">
        <f>COUNTIF('September Detail'!$B$2:$B$337,$A40)</f>
        <v>20</v>
      </c>
      <c r="G40" s="27"/>
      <c r="H40" s="27"/>
      <c r="I40" s="27"/>
      <c r="J40" s="27"/>
      <c r="K40" s="27"/>
      <c r="L40" s="27"/>
      <c r="M40" s="27"/>
      <c r="N40" s="27"/>
    </row>
    <row r="41" spans="1:14" ht="19.95" customHeight="1" x14ac:dyDescent="0.3">
      <c r="A41" s="28">
        <v>46290</v>
      </c>
      <c r="B41" s="40">
        <f>SUMIFS('September Detail'!$F$2:$F$337,'September Detail'!$D$2:$D$337,"Pickup",'September Detail'!$B$2:$B$337,$A41)</f>
        <v>13920</v>
      </c>
      <c r="C41" s="40">
        <f>SUMIFS('September Detail'!$F$2:$F$337,'September Detail'!$D$2:$D$337,"Uber",'September Detail'!$B$2:$B$337,$A41)</f>
        <v>8900</v>
      </c>
      <c r="D41" s="40">
        <f>SUMIFS('September Detail'!$F$2:$F$337,'September Detail'!$D$2:$D$337,"PickMe",'September Detail'!$B$2:$B$337,$A41)</f>
        <v>4760</v>
      </c>
      <c r="E41" s="40">
        <f>SUM(B41:D41)</f>
        <v>27580</v>
      </c>
      <c r="F41" s="48">
        <f>COUNTIF('September Detail'!$B$2:$B$337,$A41)</f>
        <v>23</v>
      </c>
      <c r="G41" s="27"/>
      <c r="H41" s="27"/>
      <c r="I41" s="27"/>
      <c r="J41" s="27"/>
      <c r="K41" s="27"/>
      <c r="L41" s="27"/>
      <c r="M41" s="27"/>
      <c r="N41" s="27"/>
    </row>
    <row r="42" spans="1:14" ht="19.95" customHeight="1" x14ac:dyDescent="0.3">
      <c r="A42" s="28">
        <v>46293</v>
      </c>
      <c r="B42" s="40">
        <f>SUMIFS('September Detail'!$F$2:$F$337,'September Detail'!$D$2:$D$337,"Pickup",'September Detail'!$B$2:$B$337,$A42)</f>
        <v>7820</v>
      </c>
      <c r="C42" s="40">
        <f>SUMIFS('September Detail'!$F$2:$F$337,'September Detail'!$D$2:$D$337,"Uber",'September Detail'!$B$2:$B$337,$A42)</f>
        <v>13500</v>
      </c>
      <c r="D42" s="40">
        <f>SUMIFS('September Detail'!$F$2:$F$337,'September Detail'!$D$2:$D$337,"PickMe",'September Detail'!$B$2:$B$337,$A42)</f>
        <v>950</v>
      </c>
      <c r="E42" s="40">
        <f>SUM(B42:D42)</f>
        <v>22270</v>
      </c>
      <c r="F42" s="48">
        <f>COUNTIF('September Detail'!$B$2:$B$337,$A42)</f>
        <v>19</v>
      </c>
      <c r="G42" s="27"/>
      <c r="H42" s="27"/>
      <c r="I42" s="27"/>
      <c r="J42" s="27"/>
      <c r="K42" s="27"/>
      <c r="L42" s="27"/>
      <c r="M42" s="27"/>
      <c r="N42" s="27"/>
    </row>
    <row r="43" spans="1:14" ht="19.95" customHeight="1" x14ac:dyDescent="0.3">
      <c r="A43" s="28">
        <v>46294</v>
      </c>
      <c r="B43" s="40">
        <f>SUMIFS('September Detail'!$F$2:$F$337,'September Detail'!$D$2:$D$337,"Pickup",'September Detail'!$B$2:$B$337,$A43)</f>
        <v>9940</v>
      </c>
      <c r="C43" s="40">
        <f>SUMIFS('September Detail'!$F$2:$F$337,'September Detail'!$D$2:$D$337,"Uber",'September Detail'!$B$2:$B$337,$A43)</f>
        <v>9990</v>
      </c>
      <c r="D43" s="40">
        <f>SUMIFS('September Detail'!$F$2:$F$337,'September Detail'!$D$2:$D$337,"PickMe",'September Detail'!$B$2:$B$337,$A43)</f>
        <v>650</v>
      </c>
      <c r="E43" s="40">
        <f>SUM(B43:D43)</f>
        <v>20580</v>
      </c>
      <c r="F43" s="48">
        <f>COUNTIF('September Detail'!$B$2:$B$337,$A43)</f>
        <v>16</v>
      </c>
      <c r="G43" s="27"/>
      <c r="H43" s="27"/>
      <c r="I43" s="27"/>
      <c r="J43" s="27"/>
      <c r="K43" s="27"/>
      <c r="L43" s="27"/>
      <c r="M43" s="27"/>
      <c r="N43" s="27"/>
    </row>
    <row r="44" spans="1:14" ht="19.95" customHeight="1" x14ac:dyDescent="0.3">
      <c r="A44" s="38" t="s">
        <v>459</v>
      </c>
      <c r="B44" s="44">
        <f>SUM(B23:B43)</f>
        <v>192120</v>
      </c>
      <c r="C44" s="44">
        <f>SUM(C23:C43)</f>
        <v>198800</v>
      </c>
      <c r="D44" s="44">
        <f>SUM(D23:D43)</f>
        <v>30390</v>
      </c>
      <c r="E44" s="44">
        <f>SUM(E23:E43)</f>
        <v>421310</v>
      </c>
      <c r="F44" s="49">
        <f>SUM(F23:F43)</f>
        <v>336</v>
      </c>
      <c r="G44" s="27"/>
      <c r="H44" s="27"/>
      <c r="I44" s="27"/>
      <c r="J44" s="27"/>
      <c r="K44" s="27"/>
      <c r="L44" s="27"/>
      <c r="M44" s="27"/>
      <c r="N44" s="27"/>
    </row>
    <row r="45" spans="1:14" ht="19.9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7" spans="1:14" ht="18" x14ac:dyDescent="0.35">
      <c r="A47" s="50" t="s">
        <v>467</v>
      </c>
      <c r="B47" s="50"/>
      <c r="C47" s="50"/>
      <c r="D47" s="50"/>
      <c r="E47" s="50"/>
      <c r="F47" s="50"/>
    </row>
    <row r="48" spans="1:14" x14ac:dyDescent="0.3">
      <c r="A48" s="51" t="s">
        <v>468</v>
      </c>
      <c r="B48" s="51" t="s">
        <v>428</v>
      </c>
    </row>
    <row r="49" spans="1:6" x14ac:dyDescent="0.3">
      <c r="A49" t="s">
        <v>469</v>
      </c>
      <c r="B49" s="53">
        <v>216</v>
      </c>
    </row>
    <row r="50" spans="1:6" x14ac:dyDescent="0.3">
      <c r="A50" t="s">
        <v>474</v>
      </c>
      <c r="B50" s="53">
        <v>118</v>
      </c>
    </row>
    <row r="51" spans="1:6" x14ac:dyDescent="0.3">
      <c r="A51" t="s">
        <v>470</v>
      </c>
      <c r="B51" s="53">
        <v>96</v>
      </c>
    </row>
    <row r="52" spans="1:6" x14ac:dyDescent="0.3">
      <c r="B52" s="53"/>
    </row>
    <row r="53" spans="1:6" x14ac:dyDescent="0.3">
      <c r="A53" t="s">
        <v>471</v>
      </c>
      <c r="B53" s="53">
        <v>53</v>
      </c>
    </row>
    <row r="54" spans="1:6" x14ac:dyDescent="0.3">
      <c r="A54" t="s">
        <v>472</v>
      </c>
      <c r="B54" s="53">
        <v>35</v>
      </c>
    </row>
    <row r="55" spans="1:6" x14ac:dyDescent="0.3">
      <c r="A55" s="52" t="s">
        <v>459</v>
      </c>
      <c r="B55" s="54">
        <v>518</v>
      </c>
    </row>
    <row r="56" spans="1:6" ht="36" customHeight="1" x14ac:dyDescent="0.3"/>
    <row r="57" spans="1:6" ht="37.950000000000003" customHeight="1" x14ac:dyDescent="0.3">
      <c r="A57" s="55" t="s">
        <v>473</v>
      </c>
      <c r="B57" s="55"/>
      <c r="C57" s="55"/>
      <c r="D57" s="55"/>
      <c r="E57" s="55"/>
      <c r="F57" s="55"/>
    </row>
    <row r="58" spans="1:6" ht="37.950000000000003" customHeight="1" x14ac:dyDescent="0.3">
      <c r="A58" s="55"/>
      <c r="B58" s="55"/>
      <c r="C58" s="55"/>
      <c r="D58" s="55"/>
      <c r="E58" s="55"/>
      <c r="F58" s="55"/>
    </row>
  </sheetData>
  <mergeCells count="12">
    <mergeCell ref="A47:F47"/>
    <mergeCell ref="A57:F58"/>
    <mergeCell ref="A1:N1"/>
    <mergeCell ref="A2:N2"/>
    <mergeCell ref="A3:C3"/>
    <mergeCell ref="A4:C4"/>
    <mergeCell ref="E3:G3"/>
    <mergeCell ref="E4:G4"/>
    <mergeCell ref="I3:K3"/>
    <mergeCell ref="I4:K4"/>
    <mergeCell ref="M3:N3"/>
    <mergeCell ref="M4:N4"/>
  </mergeCells>
  <conditionalFormatting sqref="F7:F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{325F9924-4F78-4A3E-B1C9-E94284275456}</x14:id>
        </ext>
      </extLst>
    </cfRule>
  </conditionalFormatting>
  <conditionalFormatting sqref="E23:E4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{26D6F75B-0A99-4267-A4E6-4BDC696ADC2C}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5F9924-4F78-4A3E-B1C9-E94284275456}">
            <x14:dataBar minLength="0" maxLength="100" negativeBarColorSameAsPositive="1" axisPosition="none">
              <x14:cfvo type="min"/>
              <x14:cfvo type="max"/>
            </x14:dataBar>
          </x14:cfRule>
          <xm:sqref>F7:F9</xm:sqref>
        </x14:conditionalFormatting>
        <x14:conditionalFormatting xmlns:xm="http://schemas.microsoft.com/office/excel/2006/main">
          <x14:cfRule type="dataBar" id="{26D6F75B-0A99-4267-A4E6-4BDC696ADC2C}">
            <x14:dataBar minLength="0" maxLength="100" negativeBarColorSameAsPositive="1" axisPosition="none">
              <x14:cfvo type="min"/>
              <x14:cfvo type="max"/>
            </x14:dataBar>
          </x14:cfRule>
          <xm:sqref>E23:E43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7F93-9AA3-481D-B6DC-0235852A1A63}">
  <sheetPr>
    <tabColor rgb="FFA5A5A5"/>
  </sheetPr>
  <dimension ref="A1:H337"/>
  <sheetViews>
    <sheetView showGridLines="0" workbookViewId="0">
      <pane ySplit="1" topLeftCell="A321" activePane="bottomLeft" state="frozen"/>
      <selection pane="bottomLeft" activeCell="N7" sqref="N7"/>
    </sheetView>
  </sheetViews>
  <sheetFormatPr defaultRowHeight="14.4" x14ac:dyDescent="0.3"/>
  <cols>
    <col min="1" max="1" width="13.109375" bestFit="1" customWidth="1"/>
    <col min="2" max="2" width="7.109375" bestFit="1" customWidth="1"/>
    <col min="3" max="3" width="15.88671875" bestFit="1" customWidth="1"/>
    <col min="4" max="4" width="10.109375" bestFit="1" customWidth="1"/>
    <col min="5" max="5" width="10.5546875" bestFit="1" customWidth="1"/>
    <col min="6" max="6" width="12.33203125" bestFit="1" customWidth="1"/>
    <col min="7" max="7" width="44.44140625" style="26" customWidth="1"/>
    <col min="8" max="8" width="19.44140625" customWidth="1"/>
  </cols>
  <sheetData>
    <row r="1" spans="1:8" x14ac:dyDescent="0.3">
      <c r="A1" t="s">
        <v>425</v>
      </c>
      <c r="B1" t="s">
        <v>426</v>
      </c>
      <c r="C1" t="s">
        <v>22</v>
      </c>
      <c r="D1" t="s">
        <v>427</v>
      </c>
      <c r="E1" t="s">
        <v>428</v>
      </c>
      <c r="F1" t="s">
        <v>429</v>
      </c>
      <c r="G1" s="26" t="s">
        <v>430</v>
      </c>
      <c r="H1" t="s">
        <v>431</v>
      </c>
    </row>
    <row r="2" spans="1:8" x14ac:dyDescent="0.3">
      <c r="A2">
        <v>3</v>
      </c>
      <c r="B2" s="2">
        <v>46266</v>
      </c>
      <c r="C2" t="s">
        <v>2</v>
      </c>
      <c r="D2" t="s">
        <v>1</v>
      </c>
      <c r="E2" s="24">
        <v>1</v>
      </c>
      <c r="F2" s="25">
        <v>950</v>
      </c>
      <c r="G2" s="26" t="s">
        <v>5</v>
      </c>
      <c r="H2" t="s">
        <v>3</v>
      </c>
    </row>
    <row r="3" spans="1:8" x14ac:dyDescent="0.3">
      <c r="A3">
        <v>4</v>
      </c>
      <c r="B3" s="2">
        <v>46266</v>
      </c>
      <c r="C3" t="s">
        <v>7</v>
      </c>
      <c r="D3" t="s">
        <v>432</v>
      </c>
      <c r="E3" s="24">
        <v>2</v>
      </c>
      <c r="F3" s="25">
        <v>1300</v>
      </c>
      <c r="G3" s="26" t="s">
        <v>10</v>
      </c>
      <c r="H3" t="s">
        <v>8</v>
      </c>
    </row>
    <row r="4" spans="1:8" x14ac:dyDescent="0.3">
      <c r="A4">
        <v>5</v>
      </c>
      <c r="B4" s="2">
        <v>46266</v>
      </c>
      <c r="C4" t="s">
        <v>12</v>
      </c>
      <c r="D4" t="s">
        <v>432</v>
      </c>
      <c r="E4" s="24">
        <v>2.5</v>
      </c>
      <c r="F4" s="25">
        <v>1300</v>
      </c>
      <c r="G4" s="26" t="s">
        <v>13</v>
      </c>
      <c r="H4" t="s">
        <v>8</v>
      </c>
    </row>
    <row r="5" spans="1:8" x14ac:dyDescent="0.3">
      <c r="A5">
        <v>6</v>
      </c>
      <c r="B5" s="2">
        <v>46266</v>
      </c>
      <c r="C5" t="s">
        <v>14</v>
      </c>
      <c r="D5" t="s">
        <v>432</v>
      </c>
      <c r="E5" s="24">
        <v>1</v>
      </c>
      <c r="F5" s="25">
        <v>650</v>
      </c>
      <c r="G5" s="26" t="s">
        <v>5</v>
      </c>
      <c r="H5" t="s">
        <v>8</v>
      </c>
    </row>
    <row r="6" spans="1:8" x14ac:dyDescent="0.3">
      <c r="A6">
        <v>7</v>
      </c>
      <c r="B6" s="2">
        <v>46266</v>
      </c>
      <c r="C6" t="s">
        <v>16</v>
      </c>
      <c r="D6" t="s">
        <v>432</v>
      </c>
      <c r="E6" s="24">
        <v>3</v>
      </c>
      <c r="F6" s="25">
        <v>1950</v>
      </c>
      <c r="G6" s="26" t="s">
        <v>18</v>
      </c>
      <c r="H6" t="s">
        <v>8</v>
      </c>
    </row>
    <row r="7" spans="1:8" x14ac:dyDescent="0.3">
      <c r="A7">
        <v>8</v>
      </c>
      <c r="B7" s="2">
        <v>46266</v>
      </c>
      <c r="C7" t="s">
        <v>19</v>
      </c>
      <c r="D7" t="s">
        <v>1</v>
      </c>
      <c r="E7" s="24">
        <v>1</v>
      </c>
      <c r="F7" s="25">
        <v>950</v>
      </c>
      <c r="G7" s="26" t="s">
        <v>5</v>
      </c>
      <c r="H7" t="s">
        <v>20</v>
      </c>
    </row>
    <row r="8" spans="1:8" x14ac:dyDescent="0.3">
      <c r="A8">
        <v>9</v>
      </c>
      <c r="B8" s="2">
        <v>46266</v>
      </c>
      <c r="C8" t="s">
        <v>21</v>
      </c>
      <c r="D8" t="s">
        <v>432</v>
      </c>
      <c r="E8" s="24">
        <v>1</v>
      </c>
      <c r="F8" s="25">
        <v>650</v>
      </c>
      <c r="G8" s="26" t="s">
        <v>5</v>
      </c>
      <c r="H8" t="s">
        <v>8</v>
      </c>
    </row>
    <row r="9" spans="1:8" x14ac:dyDescent="0.3">
      <c r="A9">
        <v>10</v>
      </c>
      <c r="B9" s="2">
        <v>46266</v>
      </c>
      <c r="C9" t="s">
        <v>22</v>
      </c>
      <c r="D9" t="s">
        <v>432</v>
      </c>
      <c r="E9" s="24">
        <v>1</v>
      </c>
      <c r="F9" s="25">
        <v>650</v>
      </c>
      <c r="G9" s="26" t="s">
        <v>5</v>
      </c>
      <c r="H9" t="s">
        <v>8</v>
      </c>
    </row>
    <row r="10" spans="1:8" x14ac:dyDescent="0.3">
      <c r="A10">
        <v>11</v>
      </c>
      <c r="B10" s="2">
        <v>46266</v>
      </c>
      <c r="C10" t="s">
        <v>24</v>
      </c>
      <c r="D10" t="s">
        <v>1</v>
      </c>
      <c r="E10" s="24">
        <v>1</v>
      </c>
      <c r="F10" s="25">
        <v>950</v>
      </c>
      <c r="G10" s="26" t="s">
        <v>5</v>
      </c>
      <c r="H10" t="s">
        <v>25</v>
      </c>
    </row>
    <row r="11" spans="1:8" x14ac:dyDescent="0.3">
      <c r="A11">
        <v>12</v>
      </c>
      <c r="B11" s="2">
        <v>46266</v>
      </c>
      <c r="C11" t="s">
        <v>27</v>
      </c>
      <c r="D11" t="s">
        <v>432</v>
      </c>
      <c r="E11" s="24">
        <v>2</v>
      </c>
      <c r="F11" s="25">
        <v>1300</v>
      </c>
      <c r="G11" s="26" t="s">
        <v>28</v>
      </c>
      <c r="H11" t="s">
        <v>8</v>
      </c>
    </row>
    <row r="12" spans="1:8" x14ac:dyDescent="0.3">
      <c r="A12">
        <v>13</v>
      </c>
      <c r="B12" s="2">
        <v>46266</v>
      </c>
      <c r="C12" t="s">
        <v>30</v>
      </c>
      <c r="D12" t="s">
        <v>1</v>
      </c>
      <c r="E12" s="24">
        <v>1</v>
      </c>
      <c r="F12" s="25">
        <v>950</v>
      </c>
      <c r="G12" s="26" t="s">
        <v>5</v>
      </c>
      <c r="H12" t="s">
        <v>31</v>
      </c>
    </row>
    <row r="13" spans="1:8" x14ac:dyDescent="0.3">
      <c r="A13">
        <v>14</v>
      </c>
      <c r="B13" s="2">
        <v>46266</v>
      </c>
      <c r="C13" t="s">
        <v>21</v>
      </c>
      <c r="D13" t="s">
        <v>432</v>
      </c>
      <c r="E13" s="24">
        <v>2</v>
      </c>
      <c r="F13" s="25">
        <v>1200</v>
      </c>
      <c r="G13" s="26" t="s">
        <v>34</v>
      </c>
      <c r="H13" t="s">
        <v>8</v>
      </c>
    </row>
    <row r="14" spans="1:8" x14ac:dyDescent="0.3">
      <c r="A14">
        <v>15</v>
      </c>
      <c r="B14" s="2">
        <v>46266</v>
      </c>
      <c r="C14" t="s">
        <v>36</v>
      </c>
      <c r="D14" t="s">
        <v>1</v>
      </c>
      <c r="E14" s="24">
        <v>1</v>
      </c>
      <c r="F14" s="25">
        <v>950</v>
      </c>
      <c r="G14" s="26" t="s">
        <v>38</v>
      </c>
      <c r="H14" t="s">
        <v>37</v>
      </c>
    </row>
    <row r="15" spans="1:8" x14ac:dyDescent="0.3">
      <c r="A15">
        <v>16</v>
      </c>
      <c r="B15" s="2">
        <v>46267</v>
      </c>
      <c r="C15" t="s">
        <v>2</v>
      </c>
      <c r="D15" t="s">
        <v>432</v>
      </c>
      <c r="E15" s="24">
        <v>1</v>
      </c>
      <c r="F15" s="25">
        <v>650</v>
      </c>
      <c r="G15" s="26" t="s">
        <v>5</v>
      </c>
      <c r="H15" t="s">
        <v>8</v>
      </c>
    </row>
    <row r="16" spans="1:8" x14ac:dyDescent="0.3">
      <c r="A16">
        <v>17</v>
      </c>
      <c r="B16" s="2">
        <v>46267</v>
      </c>
      <c r="C16" t="s">
        <v>40</v>
      </c>
      <c r="D16" t="s">
        <v>432</v>
      </c>
      <c r="E16" s="24">
        <v>4</v>
      </c>
      <c r="F16" s="25">
        <v>2100</v>
      </c>
      <c r="G16" s="26" t="s">
        <v>42</v>
      </c>
      <c r="H16" t="s">
        <v>8</v>
      </c>
    </row>
    <row r="17" spans="1:8" x14ac:dyDescent="0.3">
      <c r="A17">
        <v>18</v>
      </c>
      <c r="B17" s="2">
        <v>46267</v>
      </c>
      <c r="C17" t="s">
        <v>43</v>
      </c>
      <c r="D17" t="s">
        <v>6</v>
      </c>
      <c r="E17" s="24">
        <v>1</v>
      </c>
      <c r="F17" s="25">
        <v>950</v>
      </c>
      <c r="G17" s="26" t="s">
        <v>44</v>
      </c>
      <c r="H17">
        <v>182399514</v>
      </c>
    </row>
    <row r="18" spans="1:8" x14ac:dyDescent="0.3">
      <c r="A18">
        <v>19</v>
      </c>
      <c r="B18" s="2">
        <v>46285</v>
      </c>
      <c r="C18" t="s">
        <v>45</v>
      </c>
      <c r="D18" t="s">
        <v>432</v>
      </c>
      <c r="E18" s="24">
        <v>2</v>
      </c>
      <c r="F18" s="25">
        <v>1300</v>
      </c>
      <c r="G18" s="26" t="s">
        <v>46</v>
      </c>
      <c r="H18" t="s">
        <v>8</v>
      </c>
    </row>
    <row r="19" spans="1:8" x14ac:dyDescent="0.3">
      <c r="A19">
        <v>20</v>
      </c>
      <c r="B19" s="2">
        <v>46285</v>
      </c>
      <c r="C19" t="s">
        <v>47</v>
      </c>
      <c r="D19" t="s">
        <v>1</v>
      </c>
      <c r="E19" s="24">
        <v>1</v>
      </c>
      <c r="F19" s="25">
        <v>800</v>
      </c>
      <c r="G19" s="26" t="s">
        <v>50</v>
      </c>
      <c r="H19" t="s">
        <v>48</v>
      </c>
    </row>
    <row r="20" spans="1:8" x14ac:dyDescent="0.3">
      <c r="A20">
        <v>21</v>
      </c>
      <c r="B20" s="2">
        <v>46267</v>
      </c>
      <c r="C20" t="s">
        <v>51</v>
      </c>
      <c r="D20" t="s">
        <v>1</v>
      </c>
      <c r="E20" s="24">
        <v>1</v>
      </c>
      <c r="F20" s="25">
        <v>950</v>
      </c>
      <c r="G20" s="26" t="s">
        <v>5</v>
      </c>
      <c r="H20" t="s">
        <v>52</v>
      </c>
    </row>
    <row r="21" spans="1:8" x14ac:dyDescent="0.3">
      <c r="A21">
        <v>22</v>
      </c>
      <c r="B21" s="2">
        <v>46267</v>
      </c>
      <c r="C21" t="s">
        <v>53</v>
      </c>
      <c r="D21" t="s">
        <v>6</v>
      </c>
      <c r="E21" s="24">
        <v>1</v>
      </c>
      <c r="F21" s="25">
        <v>950</v>
      </c>
      <c r="G21" s="26" t="s">
        <v>5</v>
      </c>
      <c r="H21">
        <v>182393526</v>
      </c>
    </row>
    <row r="22" spans="1:8" x14ac:dyDescent="0.3">
      <c r="A22">
        <v>23</v>
      </c>
      <c r="B22" s="2">
        <v>46267</v>
      </c>
      <c r="C22" t="s">
        <v>54</v>
      </c>
      <c r="D22" t="s">
        <v>432</v>
      </c>
      <c r="E22" s="24">
        <v>1</v>
      </c>
      <c r="F22" s="25">
        <v>650</v>
      </c>
      <c r="G22" s="26" t="s">
        <v>5</v>
      </c>
      <c r="H22" t="s">
        <v>8</v>
      </c>
    </row>
    <row r="23" spans="1:8" x14ac:dyDescent="0.3">
      <c r="A23">
        <v>24</v>
      </c>
      <c r="B23" s="2">
        <v>46267</v>
      </c>
      <c r="C23" t="s">
        <v>36</v>
      </c>
      <c r="D23" t="s">
        <v>1</v>
      </c>
      <c r="E23" s="24">
        <v>1</v>
      </c>
      <c r="F23" s="25">
        <v>950</v>
      </c>
      <c r="G23" s="26" t="s">
        <v>44</v>
      </c>
      <c r="H23">
        <v>83422</v>
      </c>
    </row>
    <row r="24" spans="1:8" x14ac:dyDescent="0.3">
      <c r="A24">
        <v>25</v>
      </c>
      <c r="B24" s="2">
        <v>46267</v>
      </c>
      <c r="C24" t="s">
        <v>55</v>
      </c>
      <c r="D24" t="s">
        <v>432</v>
      </c>
      <c r="E24" s="24">
        <v>1</v>
      </c>
      <c r="F24" s="25">
        <v>650</v>
      </c>
      <c r="G24" s="26" t="s">
        <v>5</v>
      </c>
      <c r="H24" t="s">
        <v>8</v>
      </c>
    </row>
    <row r="25" spans="1:8" x14ac:dyDescent="0.3">
      <c r="A25">
        <v>26</v>
      </c>
      <c r="B25" s="2">
        <v>46267</v>
      </c>
      <c r="C25" t="s">
        <v>56</v>
      </c>
      <c r="D25" t="s">
        <v>432</v>
      </c>
      <c r="E25" s="24">
        <v>3</v>
      </c>
      <c r="F25" s="25">
        <v>1800</v>
      </c>
      <c r="G25" s="26" t="s">
        <v>433</v>
      </c>
      <c r="H25" t="s">
        <v>8</v>
      </c>
    </row>
    <row r="26" spans="1:8" x14ac:dyDescent="0.3">
      <c r="A26">
        <v>27</v>
      </c>
      <c r="B26" s="2">
        <v>46267</v>
      </c>
      <c r="C26" t="s">
        <v>59</v>
      </c>
      <c r="D26" t="s">
        <v>1</v>
      </c>
      <c r="E26" s="24">
        <v>2</v>
      </c>
      <c r="F26" s="25">
        <v>1750</v>
      </c>
      <c r="G26" s="26" t="s">
        <v>62</v>
      </c>
      <c r="H26" t="s">
        <v>60</v>
      </c>
    </row>
    <row r="27" spans="1:8" x14ac:dyDescent="0.3">
      <c r="A27">
        <v>28</v>
      </c>
      <c r="B27" s="2">
        <v>46285</v>
      </c>
      <c r="C27" t="s">
        <v>63</v>
      </c>
      <c r="D27" t="s">
        <v>1</v>
      </c>
      <c r="E27" s="24">
        <v>2</v>
      </c>
      <c r="F27" s="25">
        <v>1750</v>
      </c>
      <c r="G27" s="26" t="s">
        <v>34</v>
      </c>
      <c r="H27">
        <v>86079</v>
      </c>
    </row>
    <row r="28" spans="1:8" x14ac:dyDescent="0.3">
      <c r="A28">
        <v>29</v>
      </c>
      <c r="B28" s="2">
        <v>46285</v>
      </c>
      <c r="C28" t="s">
        <v>64</v>
      </c>
      <c r="D28" t="s">
        <v>432</v>
      </c>
      <c r="E28" s="24">
        <v>1</v>
      </c>
      <c r="F28" s="25">
        <v>650</v>
      </c>
      <c r="G28" s="26" t="s">
        <v>65</v>
      </c>
      <c r="H28" t="s">
        <v>8</v>
      </c>
    </row>
    <row r="29" spans="1:8" x14ac:dyDescent="0.3">
      <c r="A29">
        <v>30</v>
      </c>
      <c r="B29" s="2">
        <v>46267</v>
      </c>
      <c r="C29" t="s">
        <v>66</v>
      </c>
      <c r="D29" t="s">
        <v>432</v>
      </c>
      <c r="E29" s="24">
        <v>1</v>
      </c>
      <c r="F29" s="25">
        <v>650</v>
      </c>
      <c r="G29" s="26" t="s">
        <v>5</v>
      </c>
      <c r="H29" t="s">
        <v>8</v>
      </c>
    </row>
    <row r="30" spans="1:8" x14ac:dyDescent="0.3">
      <c r="A30">
        <v>31</v>
      </c>
      <c r="B30" s="2">
        <v>46267</v>
      </c>
      <c r="C30" t="s">
        <v>21</v>
      </c>
      <c r="D30" t="s">
        <v>432</v>
      </c>
      <c r="E30" s="24">
        <v>1</v>
      </c>
      <c r="F30" s="25">
        <v>650</v>
      </c>
      <c r="G30" s="26" t="s">
        <v>5</v>
      </c>
      <c r="H30" t="s">
        <v>8</v>
      </c>
    </row>
    <row r="31" spans="1:8" x14ac:dyDescent="0.3">
      <c r="A31">
        <v>32</v>
      </c>
      <c r="B31" s="2">
        <v>46267</v>
      </c>
      <c r="C31" t="s">
        <v>45</v>
      </c>
      <c r="D31" t="s">
        <v>432</v>
      </c>
      <c r="E31" s="24">
        <v>1</v>
      </c>
      <c r="F31" s="25">
        <v>650</v>
      </c>
      <c r="G31" s="26" t="s">
        <v>44</v>
      </c>
      <c r="H31" t="s">
        <v>8</v>
      </c>
    </row>
    <row r="32" spans="1:8" x14ac:dyDescent="0.3">
      <c r="A32">
        <v>33</v>
      </c>
      <c r="B32" s="2">
        <v>46267</v>
      </c>
      <c r="C32" t="s">
        <v>45</v>
      </c>
      <c r="D32" t="s">
        <v>432</v>
      </c>
      <c r="E32" s="24">
        <v>1</v>
      </c>
      <c r="F32" s="25">
        <v>550</v>
      </c>
      <c r="G32" s="26" t="s">
        <v>50</v>
      </c>
      <c r="H32" t="s">
        <v>8</v>
      </c>
    </row>
    <row r="33" spans="1:8" x14ac:dyDescent="0.3">
      <c r="A33">
        <v>34</v>
      </c>
      <c r="B33" s="2">
        <v>46285</v>
      </c>
      <c r="C33" t="s">
        <v>68</v>
      </c>
      <c r="D33" t="s">
        <v>432</v>
      </c>
      <c r="E33" s="24">
        <v>1</v>
      </c>
      <c r="F33" s="25">
        <v>550</v>
      </c>
      <c r="G33" s="26" t="s">
        <v>50</v>
      </c>
      <c r="H33" t="s">
        <v>8</v>
      </c>
    </row>
    <row r="34" spans="1:8" x14ac:dyDescent="0.3">
      <c r="A34">
        <v>35</v>
      </c>
      <c r="B34" s="2">
        <v>46267</v>
      </c>
      <c r="C34" t="s">
        <v>69</v>
      </c>
      <c r="D34" t="s">
        <v>1</v>
      </c>
      <c r="E34" s="24">
        <v>1</v>
      </c>
      <c r="F34" s="25">
        <v>950</v>
      </c>
      <c r="G34" s="26" t="s">
        <v>5</v>
      </c>
      <c r="H34" t="s">
        <v>70</v>
      </c>
    </row>
    <row r="35" spans="1:8" x14ac:dyDescent="0.3">
      <c r="A35">
        <v>36</v>
      </c>
      <c r="B35" s="2">
        <v>46267</v>
      </c>
      <c r="C35" t="s">
        <v>71</v>
      </c>
      <c r="D35" t="s">
        <v>432</v>
      </c>
      <c r="E35" s="24">
        <v>3</v>
      </c>
      <c r="F35" s="25">
        <v>1750</v>
      </c>
      <c r="G35" s="26" t="s">
        <v>72</v>
      </c>
      <c r="H35" t="s">
        <v>8</v>
      </c>
    </row>
    <row r="36" spans="1:8" x14ac:dyDescent="0.3">
      <c r="A36">
        <v>37</v>
      </c>
      <c r="B36" s="2">
        <v>46267</v>
      </c>
      <c r="C36" t="s">
        <v>73</v>
      </c>
      <c r="D36" t="s">
        <v>432</v>
      </c>
      <c r="E36" s="24">
        <v>2</v>
      </c>
      <c r="F36" s="25">
        <v>1150</v>
      </c>
      <c r="G36" s="26" t="s">
        <v>434</v>
      </c>
      <c r="H36" t="s">
        <v>8</v>
      </c>
    </row>
    <row r="37" spans="1:8" x14ac:dyDescent="0.3">
      <c r="A37">
        <v>38</v>
      </c>
      <c r="B37" s="2">
        <v>46268</v>
      </c>
      <c r="C37" t="s">
        <v>76</v>
      </c>
      <c r="D37" t="s">
        <v>1</v>
      </c>
      <c r="E37" s="24">
        <v>1</v>
      </c>
      <c r="F37" s="25">
        <v>800</v>
      </c>
      <c r="G37" s="26" t="s">
        <v>50</v>
      </c>
      <c r="H37" t="s">
        <v>77</v>
      </c>
    </row>
    <row r="38" spans="1:8" x14ac:dyDescent="0.3">
      <c r="A38">
        <v>39</v>
      </c>
      <c r="B38" s="2">
        <v>46268</v>
      </c>
      <c r="C38" t="s">
        <v>12</v>
      </c>
      <c r="D38" t="s">
        <v>432</v>
      </c>
      <c r="E38" s="24">
        <v>4</v>
      </c>
      <c r="F38" s="25">
        <v>2100</v>
      </c>
      <c r="G38" s="26" t="s">
        <v>42</v>
      </c>
      <c r="H38" t="s">
        <v>8</v>
      </c>
    </row>
    <row r="39" spans="1:8" x14ac:dyDescent="0.3">
      <c r="A39">
        <v>40</v>
      </c>
      <c r="B39" s="2">
        <v>46268</v>
      </c>
      <c r="C39" t="s">
        <v>78</v>
      </c>
      <c r="D39" t="s">
        <v>6</v>
      </c>
      <c r="E39" s="24">
        <v>1</v>
      </c>
      <c r="F39" s="25">
        <v>950</v>
      </c>
      <c r="G39" s="26" t="s">
        <v>5</v>
      </c>
      <c r="H39">
        <v>182427010</v>
      </c>
    </row>
    <row r="40" spans="1:8" x14ac:dyDescent="0.3">
      <c r="A40">
        <v>41</v>
      </c>
      <c r="B40" s="2">
        <v>46268</v>
      </c>
      <c r="C40" t="s">
        <v>79</v>
      </c>
      <c r="D40" t="s">
        <v>6</v>
      </c>
      <c r="E40" s="24">
        <v>1</v>
      </c>
      <c r="F40" s="25">
        <v>950</v>
      </c>
      <c r="G40" s="26" t="s">
        <v>44</v>
      </c>
      <c r="H40">
        <v>182427690</v>
      </c>
    </row>
    <row r="41" spans="1:8" x14ac:dyDescent="0.3">
      <c r="A41">
        <v>42</v>
      </c>
      <c r="B41" s="2">
        <v>46268</v>
      </c>
      <c r="C41" t="s">
        <v>80</v>
      </c>
      <c r="D41" t="s">
        <v>432</v>
      </c>
      <c r="E41" s="24">
        <v>1</v>
      </c>
      <c r="F41" s="25">
        <v>650</v>
      </c>
      <c r="G41" s="26" t="s">
        <v>5</v>
      </c>
      <c r="H41" t="s">
        <v>8</v>
      </c>
    </row>
    <row r="42" spans="1:8" x14ac:dyDescent="0.3">
      <c r="A42">
        <v>43</v>
      </c>
      <c r="B42" s="2">
        <v>46268</v>
      </c>
      <c r="C42" t="s">
        <v>81</v>
      </c>
      <c r="D42" t="s">
        <v>432</v>
      </c>
      <c r="E42" s="24">
        <v>2</v>
      </c>
      <c r="F42" s="25">
        <v>1300</v>
      </c>
      <c r="G42" s="26" t="s">
        <v>5</v>
      </c>
      <c r="H42" t="s">
        <v>8</v>
      </c>
    </row>
    <row r="43" spans="1:8" x14ac:dyDescent="0.3">
      <c r="A43">
        <v>44</v>
      </c>
      <c r="B43" s="2">
        <v>46268</v>
      </c>
      <c r="C43" t="s">
        <v>19</v>
      </c>
      <c r="D43" t="s">
        <v>1</v>
      </c>
      <c r="E43" s="24">
        <v>2</v>
      </c>
      <c r="F43" s="25">
        <v>1900</v>
      </c>
      <c r="G43" s="26" t="s">
        <v>84</v>
      </c>
      <c r="H43" t="s">
        <v>82</v>
      </c>
    </row>
    <row r="44" spans="1:8" x14ac:dyDescent="0.3">
      <c r="A44">
        <v>45</v>
      </c>
      <c r="B44" s="2">
        <v>46268</v>
      </c>
      <c r="C44" t="s">
        <v>85</v>
      </c>
      <c r="D44" t="s">
        <v>1</v>
      </c>
      <c r="E44" s="24">
        <v>1</v>
      </c>
      <c r="F44" s="25">
        <v>950</v>
      </c>
      <c r="G44" s="26" t="s">
        <v>44</v>
      </c>
      <c r="H44" t="s">
        <v>86</v>
      </c>
    </row>
    <row r="45" spans="1:8" x14ac:dyDescent="0.3">
      <c r="A45">
        <v>46</v>
      </c>
      <c r="B45" s="2">
        <v>46268</v>
      </c>
      <c r="C45" t="s">
        <v>87</v>
      </c>
      <c r="D45" t="s">
        <v>6</v>
      </c>
      <c r="E45" s="24">
        <v>1</v>
      </c>
      <c r="F45" s="25">
        <v>950</v>
      </c>
      <c r="G45" s="26" t="s">
        <v>5</v>
      </c>
      <c r="H45">
        <v>182429519</v>
      </c>
    </row>
    <row r="46" spans="1:8" x14ac:dyDescent="0.3">
      <c r="A46">
        <v>47</v>
      </c>
      <c r="B46" s="2">
        <v>46268</v>
      </c>
      <c r="C46" t="s">
        <v>88</v>
      </c>
      <c r="D46" t="s">
        <v>1</v>
      </c>
      <c r="E46" s="24">
        <v>1</v>
      </c>
      <c r="F46" s="25">
        <v>800</v>
      </c>
      <c r="G46" s="26" t="s">
        <v>90</v>
      </c>
      <c r="H46" t="s">
        <v>89</v>
      </c>
    </row>
    <row r="47" spans="1:8" x14ac:dyDescent="0.3">
      <c r="A47">
        <v>48</v>
      </c>
      <c r="B47" s="2">
        <v>46268</v>
      </c>
      <c r="C47" t="s">
        <v>91</v>
      </c>
      <c r="D47" t="s">
        <v>432</v>
      </c>
      <c r="E47" s="24">
        <v>1</v>
      </c>
      <c r="F47" s="25">
        <v>650</v>
      </c>
      <c r="G47" s="26" t="s">
        <v>5</v>
      </c>
      <c r="H47" t="s">
        <v>8</v>
      </c>
    </row>
    <row r="48" spans="1:8" x14ac:dyDescent="0.3">
      <c r="A48">
        <v>49</v>
      </c>
      <c r="B48" s="2">
        <v>46268</v>
      </c>
      <c r="C48" t="s">
        <v>92</v>
      </c>
      <c r="D48" t="s">
        <v>432</v>
      </c>
      <c r="E48" s="24">
        <v>1</v>
      </c>
      <c r="F48" s="25">
        <v>650</v>
      </c>
      <c r="G48" s="26" t="s">
        <v>5</v>
      </c>
      <c r="H48" t="s">
        <v>8</v>
      </c>
    </row>
    <row r="49" spans="1:8" x14ac:dyDescent="0.3">
      <c r="A49">
        <v>50</v>
      </c>
      <c r="B49" s="2">
        <v>46268</v>
      </c>
      <c r="C49" t="s">
        <v>45</v>
      </c>
      <c r="D49" t="s">
        <v>432</v>
      </c>
      <c r="E49" s="24">
        <v>1</v>
      </c>
      <c r="F49" s="25">
        <v>550</v>
      </c>
      <c r="G49" s="26" t="s">
        <v>90</v>
      </c>
      <c r="H49" t="s">
        <v>8</v>
      </c>
    </row>
    <row r="50" spans="1:8" x14ac:dyDescent="0.3">
      <c r="A50">
        <v>51</v>
      </c>
      <c r="B50" s="2">
        <v>46268</v>
      </c>
      <c r="C50" t="s">
        <v>66</v>
      </c>
      <c r="D50" t="s">
        <v>432</v>
      </c>
      <c r="E50" s="24">
        <v>1</v>
      </c>
      <c r="F50" s="25">
        <v>650</v>
      </c>
      <c r="G50" s="26" t="s">
        <v>5</v>
      </c>
      <c r="H50" t="s">
        <v>8</v>
      </c>
    </row>
    <row r="51" spans="1:8" x14ac:dyDescent="0.3">
      <c r="A51">
        <v>52</v>
      </c>
      <c r="B51" s="2">
        <v>46268</v>
      </c>
      <c r="C51" t="s">
        <v>93</v>
      </c>
      <c r="D51" t="s">
        <v>432</v>
      </c>
      <c r="E51" s="24">
        <v>2</v>
      </c>
      <c r="F51" s="25">
        <v>1200</v>
      </c>
      <c r="G51" s="26" t="s">
        <v>94</v>
      </c>
      <c r="H51" t="s">
        <v>8</v>
      </c>
    </row>
    <row r="52" spans="1:8" x14ac:dyDescent="0.3">
      <c r="A52">
        <v>53</v>
      </c>
      <c r="B52" s="2">
        <v>46268</v>
      </c>
      <c r="C52" t="s">
        <v>95</v>
      </c>
      <c r="D52" t="s">
        <v>1</v>
      </c>
      <c r="E52" s="24">
        <v>3</v>
      </c>
      <c r="F52" s="25">
        <v>2850</v>
      </c>
      <c r="G52" s="26" t="s">
        <v>98</v>
      </c>
      <c r="H52" t="s">
        <v>96</v>
      </c>
    </row>
    <row r="53" spans="1:8" x14ac:dyDescent="0.3">
      <c r="A53">
        <v>54</v>
      </c>
      <c r="B53" s="2">
        <v>46268</v>
      </c>
      <c r="C53" t="s">
        <v>99</v>
      </c>
      <c r="D53" t="s">
        <v>432</v>
      </c>
      <c r="E53" s="24">
        <v>1</v>
      </c>
      <c r="F53" s="25">
        <v>650</v>
      </c>
      <c r="G53" s="26" t="s">
        <v>44</v>
      </c>
      <c r="H53" t="s">
        <v>8</v>
      </c>
    </row>
    <row r="54" spans="1:8" x14ac:dyDescent="0.3">
      <c r="A54">
        <v>55</v>
      </c>
      <c r="B54" s="2">
        <v>46269</v>
      </c>
      <c r="C54" t="s">
        <v>100</v>
      </c>
      <c r="D54" t="s">
        <v>432</v>
      </c>
      <c r="E54" s="24">
        <v>1</v>
      </c>
      <c r="F54" s="25">
        <v>1200</v>
      </c>
      <c r="G54" s="26" t="s">
        <v>62</v>
      </c>
      <c r="H54" t="s">
        <v>8</v>
      </c>
    </row>
    <row r="55" spans="1:8" x14ac:dyDescent="0.3">
      <c r="A55">
        <v>56</v>
      </c>
      <c r="B55" s="2">
        <v>46269</v>
      </c>
      <c r="C55" t="s">
        <v>12</v>
      </c>
      <c r="D55" t="s">
        <v>432</v>
      </c>
      <c r="E55" s="24">
        <v>8</v>
      </c>
      <c r="F55" s="25">
        <v>4200</v>
      </c>
      <c r="G55" s="26" t="s">
        <v>102</v>
      </c>
      <c r="H55" t="s">
        <v>8</v>
      </c>
    </row>
    <row r="56" spans="1:8" x14ac:dyDescent="0.3">
      <c r="A56">
        <v>57</v>
      </c>
      <c r="B56" s="2">
        <v>46269</v>
      </c>
      <c r="C56" t="s">
        <v>76</v>
      </c>
      <c r="D56" t="s">
        <v>1</v>
      </c>
      <c r="E56" s="24">
        <v>1</v>
      </c>
      <c r="F56" s="25">
        <v>950</v>
      </c>
      <c r="G56" s="26" t="s">
        <v>44</v>
      </c>
      <c r="H56" t="s">
        <v>103</v>
      </c>
    </row>
    <row r="57" spans="1:8" x14ac:dyDescent="0.3">
      <c r="A57">
        <v>58</v>
      </c>
      <c r="B57" s="2">
        <v>46269</v>
      </c>
      <c r="C57" t="s">
        <v>104</v>
      </c>
      <c r="D57" t="s">
        <v>1</v>
      </c>
      <c r="E57" s="24">
        <v>2</v>
      </c>
      <c r="F57" s="25">
        <v>1900</v>
      </c>
      <c r="G57" s="26" t="s">
        <v>28</v>
      </c>
      <c r="H57" t="s">
        <v>105</v>
      </c>
    </row>
    <row r="58" spans="1:8" x14ac:dyDescent="0.3">
      <c r="A58">
        <v>59</v>
      </c>
      <c r="B58" s="2">
        <v>46269</v>
      </c>
      <c r="C58" t="s">
        <v>45</v>
      </c>
      <c r="D58" t="s">
        <v>432</v>
      </c>
      <c r="E58" s="24">
        <v>4</v>
      </c>
      <c r="F58" s="25">
        <v>2500</v>
      </c>
      <c r="G58" s="26" t="s">
        <v>107</v>
      </c>
      <c r="H58" t="s">
        <v>8</v>
      </c>
    </row>
    <row r="59" spans="1:8" x14ac:dyDescent="0.3">
      <c r="A59">
        <v>60</v>
      </c>
      <c r="B59" s="2">
        <v>46269</v>
      </c>
      <c r="C59" t="s">
        <v>108</v>
      </c>
      <c r="D59" t="s">
        <v>1</v>
      </c>
      <c r="E59" s="24">
        <v>1</v>
      </c>
      <c r="F59" s="25">
        <v>950</v>
      </c>
      <c r="G59" s="26" t="s">
        <v>44</v>
      </c>
      <c r="H59" t="s">
        <v>109</v>
      </c>
    </row>
    <row r="60" spans="1:8" x14ac:dyDescent="0.3">
      <c r="A60">
        <v>61</v>
      </c>
      <c r="B60" s="2">
        <v>46269</v>
      </c>
      <c r="C60" t="s">
        <v>91</v>
      </c>
      <c r="D60" t="s">
        <v>432</v>
      </c>
      <c r="E60" s="24">
        <v>1</v>
      </c>
      <c r="F60" s="25">
        <v>650</v>
      </c>
      <c r="G60" s="26" t="s">
        <v>5</v>
      </c>
      <c r="H60" t="s">
        <v>8</v>
      </c>
    </row>
    <row r="61" spans="1:8" x14ac:dyDescent="0.3">
      <c r="A61">
        <v>62</v>
      </c>
      <c r="B61" s="2">
        <v>46269</v>
      </c>
      <c r="C61" t="s">
        <v>110</v>
      </c>
      <c r="D61" t="s">
        <v>432</v>
      </c>
      <c r="E61" s="24">
        <v>1</v>
      </c>
      <c r="F61" s="25">
        <v>650</v>
      </c>
      <c r="G61" s="26" t="s">
        <v>5</v>
      </c>
      <c r="H61" t="s">
        <v>8</v>
      </c>
    </row>
    <row r="62" spans="1:8" x14ac:dyDescent="0.3">
      <c r="A62">
        <v>63</v>
      </c>
      <c r="B62" s="2">
        <v>46269</v>
      </c>
      <c r="C62" t="s">
        <v>111</v>
      </c>
      <c r="D62" t="s">
        <v>1</v>
      </c>
      <c r="E62" s="24">
        <v>1</v>
      </c>
      <c r="F62" s="25">
        <v>950</v>
      </c>
      <c r="G62" s="26" t="s">
        <v>5</v>
      </c>
      <c r="H62">
        <v>76162</v>
      </c>
    </row>
    <row r="63" spans="1:8" x14ac:dyDescent="0.3">
      <c r="A63">
        <v>64</v>
      </c>
      <c r="B63" s="2">
        <v>46269</v>
      </c>
      <c r="C63" t="s">
        <v>79</v>
      </c>
      <c r="D63" t="s">
        <v>6</v>
      </c>
      <c r="E63" s="24">
        <v>1</v>
      </c>
      <c r="F63" s="25">
        <v>800</v>
      </c>
      <c r="G63" s="26" t="s">
        <v>90</v>
      </c>
      <c r="H63">
        <v>182475853</v>
      </c>
    </row>
    <row r="64" spans="1:8" x14ac:dyDescent="0.3">
      <c r="A64">
        <v>65</v>
      </c>
      <c r="B64" s="2">
        <v>46269</v>
      </c>
      <c r="C64" t="s">
        <v>112</v>
      </c>
      <c r="D64" t="s">
        <v>1</v>
      </c>
      <c r="E64" s="24">
        <v>2</v>
      </c>
      <c r="F64" s="25">
        <v>1900</v>
      </c>
      <c r="G64" s="26" t="s">
        <v>46</v>
      </c>
      <c r="H64" t="s">
        <v>113</v>
      </c>
    </row>
    <row r="65" spans="1:8" x14ac:dyDescent="0.3">
      <c r="A65">
        <v>66</v>
      </c>
      <c r="B65" s="2">
        <v>46269</v>
      </c>
      <c r="C65" t="s">
        <v>45</v>
      </c>
      <c r="D65" t="s">
        <v>432</v>
      </c>
      <c r="E65" s="24">
        <v>2</v>
      </c>
      <c r="F65" s="25">
        <v>1100</v>
      </c>
      <c r="G65" s="26" t="s">
        <v>115</v>
      </c>
      <c r="H65" t="s">
        <v>8</v>
      </c>
    </row>
    <row r="66" spans="1:8" x14ac:dyDescent="0.3">
      <c r="A66">
        <v>67</v>
      </c>
      <c r="B66" s="2">
        <v>46269</v>
      </c>
      <c r="C66" t="s">
        <v>116</v>
      </c>
      <c r="D66" t="s">
        <v>1</v>
      </c>
      <c r="E66" s="24">
        <v>1</v>
      </c>
      <c r="F66" s="25">
        <v>950</v>
      </c>
      <c r="G66" s="26" t="s">
        <v>5</v>
      </c>
      <c r="H66" t="s">
        <v>117</v>
      </c>
    </row>
    <row r="67" spans="1:8" x14ac:dyDescent="0.3">
      <c r="A67">
        <v>68</v>
      </c>
      <c r="B67" s="2">
        <v>46269</v>
      </c>
      <c r="C67" t="s">
        <v>45</v>
      </c>
      <c r="D67" t="s">
        <v>432</v>
      </c>
      <c r="E67" s="24">
        <v>1</v>
      </c>
      <c r="F67" s="25">
        <v>650</v>
      </c>
      <c r="G67" s="26" t="s">
        <v>5</v>
      </c>
      <c r="H67" t="s">
        <v>8</v>
      </c>
    </row>
    <row r="68" spans="1:8" x14ac:dyDescent="0.3">
      <c r="A68">
        <v>69</v>
      </c>
      <c r="B68" s="2">
        <v>46269</v>
      </c>
      <c r="C68" t="s">
        <v>118</v>
      </c>
      <c r="D68" t="s">
        <v>1</v>
      </c>
      <c r="E68" s="24">
        <v>1</v>
      </c>
      <c r="F68" s="25">
        <v>950</v>
      </c>
      <c r="G68" s="26" t="s">
        <v>44</v>
      </c>
      <c r="H68">
        <v>29491</v>
      </c>
    </row>
    <row r="69" spans="1:8" x14ac:dyDescent="0.3">
      <c r="A69">
        <v>70</v>
      </c>
      <c r="B69" s="2">
        <v>46269</v>
      </c>
      <c r="C69" t="s">
        <v>119</v>
      </c>
      <c r="D69" t="s">
        <v>1</v>
      </c>
      <c r="E69" s="24">
        <v>1</v>
      </c>
      <c r="F69" s="25">
        <v>640</v>
      </c>
      <c r="G69" s="26" t="s">
        <v>50</v>
      </c>
      <c r="H69" t="s">
        <v>120</v>
      </c>
    </row>
    <row r="70" spans="1:8" x14ac:dyDescent="0.3">
      <c r="A70">
        <v>73</v>
      </c>
      <c r="B70" s="2">
        <v>46272</v>
      </c>
      <c r="C70" t="s">
        <v>12</v>
      </c>
      <c r="D70" t="s">
        <v>432</v>
      </c>
      <c r="E70" s="24">
        <v>4</v>
      </c>
      <c r="F70" s="25">
        <v>2100</v>
      </c>
      <c r="G70" s="26" t="s">
        <v>123</v>
      </c>
      <c r="H70" t="s">
        <v>8</v>
      </c>
    </row>
    <row r="71" spans="1:8" x14ac:dyDescent="0.3">
      <c r="A71">
        <v>74</v>
      </c>
      <c r="B71" s="2">
        <v>46272</v>
      </c>
      <c r="C71" t="s">
        <v>124</v>
      </c>
      <c r="D71" t="s">
        <v>1</v>
      </c>
      <c r="E71" s="24">
        <v>1</v>
      </c>
      <c r="F71" s="25">
        <v>950</v>
      </c>
      <c r="G71" s="26" t="s">
        <v>44</v>
      </c>
      <c r="H71" t="s">
        <v>125</v>
      </c>
    </row>
    <row r="72" spans="1:8" x14ac:dyDescent="0.3">
      <c r="A72">
        <v>75</v>
      </c>
      <c r="B72" s="2">
        <v>46272</v>
      </c>
      <c r="C72" t="s">
        <v>126</v>
      </c>
      <c r="D72" t="s">
        <v>1</v>
      </c>
      <c r="E72" s="24">
        <v>1</v>
      </c>
      <c r="F72" s="25">
        <v>950</v>
      </c>
      <c r="G72" s="26" t="s">
        <v>44</v>
      </c>
      <c r="H72" t="s">
        <v>127</v>
      </c>
    </row>
    <row r="73" spans="1:8" x14ac:dyDescent="0.3">
      <c r="A73">
        <v>76</v>
      </c>
      <c r="B73" s="2">
        <v>46272</v>
      </c>
      <c r="C73" t="s">
        <v>128</v>
      </c>
      <c r="D73" t="s">
        <v>1</v>
      </c>
      <c r="E73" s="24">
        <v>1</v>
      </c>
      <c r="F73" s="25">
        <v>950</v>
      </c>
      <c r="G73" s="26" t="s">
        <v>5</v>
      </c>
      <c r="H73" t="s">
        <v>129</v>
      </c>
    </row>
    <row r="74" spans="1:8" x14ac:dyDescent="0.3">
      <c r="A74">
        <v>77</v>
      </c>
      <c r="B74" s="2">
        <v>46272</v>
      </c>
      <c r="C74" t="s">
        <v>130</v>
      </c>
      <c r="D74" t="s">
        <v>1</v>
      </c>
      <c r="E74" s="24">
        <v>1</v>
      </c>
      <c r="F74" s="25">
        <v>950</v>
      </c>
      <c r="G74" s="26" t="s">
        <v>5</v>
      </c>
      <c r="H74" t="s">
        <v>131</v>
      </c>
    </row>
    <row r="75" spans="1:8" x14ac:dyDescent="0.3">
      <c r="A75">
        <v>78</v>
      </c>
      <c r="B75" s="2">
        <v>46272</v>
      </c>
      <c r="C75" t="s">
        <v>132</v>
      </c>
      <c r="D75" t="s">
        <v>1</v>
      </c>
      <c r="E75" s="24">
        <v>2</v>
      </c>
      <c r="F75" s="25">
        <v>1600</v>
      </c>
      <c r="G75" s="26" t="s">
        <v>115</v>
      </c>
      <c r="H75" t="s">
        <v>133</v>
      </c>
    </row>
    <row r="76" spans="1:8" x14ac:dyDescent="0.3">
      <c r="A76">
        <v>79</v>
      </c>
      <c r="B76" s="2">
        <v>46272</v>
      </c>
      <c r="C76" t="s">
        <v>104</v>
      </c>
      <c r="D76" t="s">
        <v>1</v>
      </c>
      <c r="E76" s="24">
        <v>2</v>
      </c>
      <c r="F76" s="25">
        <v>1900</v>
      </c>
      <c r="G76" s="26" t="s">
        <v>84</v>
      </c>
      <c r="H76" t="s">
        <v>135</v>
      </c>
    </row>
    <row r="77" spans="1:8" x14ac:dyDescent="0.3">
      <c r="A77">
        <v>80</v>
      </c>
      <c r="B77" s="2">
        <v>46272</v>
      </c>
      <c r="C77" t="s">
        <v>19</v>
      </c>
      <c r="D77" t="s">
        <v>1</v>
      </c>
      <c r="E77" s="24">
        <v>1</v>
      </c>
      <c r="F77" s="25">
        <v>950</v>
      </c>
      <c r="G77" s="26" t="s">
        <v>44</v>
      </c>
      <c r="H77" t="s">
        <v>136</v>
      </c>
    </row>
    <row r="78" spans="1:8" x14ac:dyDescent="0.3">
      <c r="A78">
        <v>81</v>
      </c>
      <c r="B78" s="2">
        <v>46272</v>
      </c>
      <c r="C78" t="s">
        <v>137</v>
      </c>
      <c r="D78" t="s">
        <v>432</v>
      </c>
      <c r="E78" s="24">
        <v>1</v>
      </c>
      <c r="F78" s="25">
        <v>650</v>
      </c>
      <c r="G78" s="26" t="s">
        <v>5</v>
      </c>
      <c r="H78" t="s">
        <v>8</v>
      </c>
    </row>
    <row r="79" spans="1:8" x14ac:dyDescent="0.3">
      <c r="A79">
        <v>82</v>
      </c>
      <c r="B79" s="2">
        <v>46272</v>
      </c>
      <c r="C79" t="s">
        <v>138</v>
      </c>
      <c r="D79" t="s">
        <v>1</v>
      </c>
      <c r="E79" s="24">
        <v>2</v>
      </c>
      <c r="F79" s="25">
        <v>1750</v>
      </c>
      <c r="G79" s="26" t="s">
        <v>140</v>
      </c>
      <c r="H79" t="s">
        <v>139</v>
      </c>
    </row>
    <row r="80" spans="1:8" x14ac:dyDescent="0.3">
      <c r="A80">
        <v>83</v>
      </c>
      <c r="B80" s="2">
        <v>46272</v>
      </c>
      <c r="C80" t="s">
        <v>66</v>
      </c>
      <c r="D80" t="s">
        <v>432</v>
      </c>
      <c r="E80" s="24">
        <v>1</v>
      </c>
      <c r="F80" s="25">
        <v>550</v>
      </c>
      <c r="G80" s="26" t="s">
        <v>50</v>
      </c>
      <c r="H80" t="s">
        <v>8</v>
      </c>
    </row>
    <row r="81" spans="1:8" x14ac:dyDescent="0.3">
      <c r="A81">
        <v>84</v>
      </c>
      <c r="B81" s="2">
        <v>46272</v>
      </c>
      <c r="C81" t="s">
        <v>141</v>
      </c>
      <c r="D81" t="s">
        <v>1</v>
      </c>
      <c r="E81" s="24">
        <v>2</v>
      </c>
      <c r="F81" s="25">
        <v>1600</v>
      </c>
      <c r="G81" s="26" t="s">
        <v>115</v>
      </c>
      <c r="H81" t="s">
        <v>142</v>
      </c>
    </row>
    <row r="82" spans="1:8" x14ac:dyDescent="0.3">
      <c r="A82">
        <v>85</v>
      </c>
      <c r="B82" s="2">
        <v>46272</v>
      </c>
      <c r="C82" t="s">
        <v>143</v>
      </c>
      <c r="D82" t="s">
        <v>1</v>
      </c>
      <c r="E82" s="24">
        <v>1</v>
      </c>
      <c r="F82" s="25">
        <v>950</v>
      </c>
      <c r="G82" s="26" t="s">
        <v>44</v>
      </c>
      <c r="H82" t="s">
        <v>144</v>
      </c>
    </row>
    <row r="83" spans="1:8" x14ac:dyDescent="0.3">
      <c r="A83">
        <v>86</v>
      </c>
      <c r="B83" s="2">
        <v>46272</v>
      </c>
      <c r="C83" t="s">
        <v>145</v>
      </c>
      <c r="D83" t="s">
        <v>1</v>
      </c>
      <c r="E83" s="24">
        <v>1</v>
      </c>
      <c r="F83" s="25">
        <v>950</v>
      </c>
      <c r="G83" s="26" t="s">
        <v>44</v>
      </c>
      <c r="H83" t="s">
        <v>146</v>
      </c>
    </row>
    <row r="84" spans="1:8" x14ac:dyDescent="0.3">
      <c r="A84">
        <v>87</v>
      </c>
      <c r="B84" s="2">
        <v>46272</v>
      </c>
      <c r="C84" t="s">
        <v>45</v>
      </c>
      <c r="D84" t="s">
        <v>432</v>
      </c>
      <c r="E84" s="24">
        <v>1</v>
      </c>
      <c r="F84" s="25">
        <v>650</v>
      </c>
      <c r="G84" s="26" t="s">
        <v>44</v>
      </c>
      <c r="H84" t="s">
        <v>8</v>
      </c>
    </row>
    <row r="85" spans="1:8" x14ac:dyDescent="0.3">
      <c r="A85">
        <v>88</v>
      </c>
      <c r="B85" s="2">
        <v>46272</v>
      </c>
      <c r="C85" t="s">
        <v>45</v>
      </c>
      <c r="D85" t="s">
        <v>432</v>
      </c>
      <c r="E85" s="24">
        <v>1</v>
      </c>
      <c r="F85" s="25">
        <v>650</v>
      </c>
      <c r="G85" s="26" t="s">
        <v>5</v>
      </c>
      <c r="H85" t="s">
        <v>8</v>
      </c>
    </row>
    <row r="86" spans="1:8" x14ac:dyDescent="0.3">
      <c r="A86">
        <v>89</v>
      </c>
      <c r="B86" s="2">
        <v>46272</v>
      </c>
      <c r="C86" t="s">
        <v>45</v>
      </c>
      <c r="D86" t="s">
        <v>432</v>
      </c>
      <c r="E86" s="24">
        <v>2</v>
      </c>
      <c r="F86" s="25">
        <v>1200</v>
      </c>
      <c r="G86" s="26" t="s">
        <v>147</v>
      </c>
      <c r="H86" t="s">
        <v>8</v>
      </c>
    </row>
    <row r="87" spans="1:8" x14ac:dyDescent="0.3">
      <c r="A87">
        <v>90</v>
      </c>
      <c r="B87" s="2">
        <v>46272</v>
      </c>
      <c r="C87" t="s">
        <v>88</v>
      </c>
      <c r="D87" t="s">
        <v>1</v>
      </c>
      <c r="E87" s="24">
        <v>1</v>
      </c>
      <c r="F87" s="25">
        <v>950</v>
      </c>
      <c r="G87" s="26" t="s">
        <v>5</v>
      </c>
      <c r="H87" t="s">
        <v>148</v>
      </c>
    </row>
    <row r="88" spans="1:8" x14ac:dyDescent="0.3">
      <c r="A88">
        <v>91</v>
      </c>
      <c r="B88" s="2">
        <v>46273</v>
      </c>
      <c r="C88" t="s">
        <v>149</v>
      </c>
      <c r="D88" t="s">
        <v>432</v>
      </c>
      <c r="E88" s="24">
        <v>2</v>
      </c>
      <c r="F88" s="25">
        <v>1300</v>
      </c>
      <c r="G88" s="26" t="s">
        <v>150</v>
      </c>
      <c r="H88" t="s">
        <v>8</v>
      </c>
    </row>
    <row r="89" spans="1:8" x14ac:dyDescent="0.3">
      <c r="A89">
        <v>92</v>
      </c>
      <c r="B89" s="2">
        <v>46273</v>
      </c>
      <c r="C89" t="s">
        <v>151</v>
      </c>
      <c r="D89" t="s">
        <v>432</v>
      </c>
      <c r="E89" s="24">
        <v>1</v>
      </c>
      <c r="F89" s="25">
        <v>650</v>
      </c>
      <c r="G89" s="26" t="s">
        <v>152</v>
      </c>
      <c r="H89" t="s">
        <v>8</v>
      </c>
    </row>
    <row r="90" spans="1:8" x14ac:dyDescent="0.3">
      <c r="A90">
        <v>93</v>
      </c>
      <c r="B90" s="2">
        <v>46273</v>
      </c>
      <c r="C90" t="s">
        <v>12</v>
      </c>
      <c r="D90" t="s">
        <v>432</v>
      </c>
      <c r="E90" s="24">
        <v>4</v>
      </c>
      <c r="F90" s="25">
        <v>2100</v>
      </c>
      <c r="G90" s="26" t="s">
        <v>153</v>
      </c>
      <c r="H90" t="s">
        <v>8</v>
      </c>
    </row>
    <row r="91" spans="1:8" x14ac:dyDescent="0.3">
      <c r="A91">
        <v>94</v>
      </c>
      <c r="B91" s="2">
        <v>46273</v>
      </c>
      <c r="C91" t="s">
        <v>154</v>
      </c>
      <c r="D91" t="s">
        <v>432</v>
      </c>
      <c r="E91" s="24">
        <v>1</v>
      </c>
      <c r="F91" s="25">
        <v>650</v>
      </c>
      <c r="G91" s="26" t="s">
        <v>152</v>
      </c>
      <c r="H91" t="s">
        <v>8</v>
      </c>
    </row>
    <row r="92" spans="1:8" x14ac:dyDescent="0.3">
      <c r="A92">
        <v>95</v>
      </c>
      <c r="B92" s="2">
        <v>46273</v>
      </c>
      <c r="C92" t="s">
        <v>155</v>
      </c>
      <c r="D92" t="s">
        <v>6</v>
      </c>
      <c r="E92" s="24">
        <v>2</v>
      </c>
      <c r="F92" s="25">
        <v>1750</v>
      </c>
      <c r="G92" s="26" t="s">
        <v>62</v>
      </c>
      <c r="H92">
        <v>182611834</v>
      </c>
    </row>
    <row r="93" spans="1:8" x14ac:dyDescent="0.3">
      <c r="A93">
        <v>96</v>
      </c>
      <c r="B93" s="2">
        <v>46273</v>
      </c>
      <c r="C93" t="s">
        <v>156</v>
      </c>
      <c r="D93" t="s">
        <v>1</v>
      </c>
      <c r="E93" s="24">
        <v>2</v>
      </c>
      <c r="F93" s="25">
        <v>1750</v>
      </c>
      <c r="G93" s="26" t="s">
        <v>34</v>
      </c>
      <c r="H93" t="s">
        <v>157</v>
      </c>
    </row>
    <row r="94" spans="1:8" x14ac:dyDescent="0.3">
      <c r="A94">
        <v>97</v>
      </c>
      <c r="B94" s="2">
        <v>46273</v>
      </c>
      <c r="C94" t="s">
        <v>158</v>
      </c>
      <c r="D94" t="s">
        <v>432</v>
      </c>
      <c r="E94" s="24">
        <v>7</v>
      </c>
      <c r="F94" s="25">
        <v>4250</v>
      </c>
      <c r="G94" s="26" t="s">
        <v>160</v>
      </c>
      <c r="H94" t="s">
        <v>8</v>
      </c>
    </row>
    <row r="95" spans="1:8" x14ac:dyDescent="0.3">
      <c r="A95">
        <v>98</v>
      </c>
      <c r="B95" s="2">
        <v>46273</v>
      </c>
      <c r="C95" t="s">
        <v>161</v>
      </c>
      <c r="D95" t="s">
        <v>432</v>
      </c>
      <c r="E95" s="24">
        <v>1</v>
      </c>
      <c r="F95" s="25">
        <v>650</v>
      </c>
      <c r="G95" s="26" t="s">
        <v>5</v>
      </c>
      <c r="H95" t="s">
        <v>8</v>
      </c>
    </row>
    <row r="96" spans="1:8" x14ac:dyDescent="0.3">
      <c r="A96">
        <v>99</v>
      </c>
      <c r="B96" s="2">
        <v>46273</v>
      </c>
      <c r="C96" t="s">
        <v>162</v>
      </c>
      <c r="D96" t="s">
        <v>6</v>
      </c>
      <c r="E96" s="24">
        <v>1</v>
      </c>
      <c r="F96" s="25">
        <v>950</v>
      </c>
      <c r="G96" s="26" t="s">
        <v>44</v>
      </c>
      <c r="H96">
        <v>182619038</v>
      </c>
    </row>
    <row r="97" spans="1:8" x14ac:dyDescent="0.3">
      <c r="A97">
        <v>100</v>
      </c>
      <c r="B97" s="2">
        <v>46273</v>
      </c>
      <c r="C97" t="s">
        <v>163</v>
      </c>
      <c r="D97" t="s">
        <v>1</v>
      </c>
      <c r="E97" s="24">
        <v>1</v>
      </c>
      <c r="F97" s="25">
        <v>950</v>
      </c>
      <c r="G97" s="26" t="s">
        <v>5</v>
      </c>
      <c r="H97" t="s">
        <v>435</v>
      </c>
    </row>
    <row r="98" spans="1:8" x14ac:dyDescent="0.3">
      <c r="A98">
        <v>101</v>
      </c>
      <c r="B98" s="2">
        <v>46273</v>
      </c>
      <c r="C98" t="s">
        <v>143</v>
      </c>
      <c r="D98" t="s">
        <v>1</v>
      </c>
      <c r="E98" s="24">
        <v>1</v>
      </c>
      <c r="F98" s="25">
        <v>950</v>
      </c>
      <c r="G98" s="26" t="s">
        <v>44</v>
      </c>
      <c r="H98">
        <v>28990</v>
      </c>
    </row>
    <row r="99" spans="1:8" x14ac:dyDescent="0.3">
      <c r="A99">
        <v>102</v>
      </c>
      <c r="B99" s="2">
        <v>46273</v>
      </c>
      <c r="C99" t="s">
        <v>165</v>
      </c>
      <c r="D99" t="s">
        <v>1</v>
      </c>
      <c r="E99" s="24">
        <v>1</v>
      </c>
      <c r="F99" s="25">
        <v>950</v>
      </c>
      <c r="G99" s="26" t="s">
        <v>5</v>
      </c>
      <c r="H99" t="s">
        <v>166</v>
      </c>
    </row>
    <row r="100" spans="1:8" x14ac:dyDescent="0.3">
      <c r="A100">
        <v>103</v>
      </c>
      <c r="B100" s="2">
        <v>46274</v>
      </c>
      <c r="C100" t="s">
        <v>12</v>
      </c>
      <c r="D100" t="s">
        <v>432</v>
      </c>
      <c r="E100" s="24">
        <v>8</v>
      </c>
      <c r="F100" s="25">
        <v>2100</v>
      </c>
      <c r="G100" s="26" t="s">
        <v>153</v>
      </c>
      <c r="H100" t="s">
        <v>8</v>
      </c>
    </row>
    <row r="101" spans="1:8" x14ac:dyDescent="0.3">
      <c r="A101">
        <v>104</v>
      </c>
      <c r="B101" s="2">
        <v>46274</v>
      </c>
      <c r="C101" t="s">
        <v>167</v>
      </c>
      <c r="D101" t="s">
        <v>1</v>
      </c>
      <c r="E101" s="24">
        <v>1</v>
      </c>
      <c r="F101" s="25">
        <v>950</v>
      </c>
      <c r="G101" s="26" t="s">
        <v>44</v>
      </c>
      <c r="H101" t="s">
        <v>168</v>
      </c>
    </row>
    <row r="102" spans="1:8" x14ac:dyDescent="0.3">
      <c r="A102">
        <v>105</v>
      </c>
      <c r="B102" s="2">
        <v>46274</v>
      </c>
      <c r="C102" t="s">
        <v>169</v>
      </c>
      <c r="D102" t="s">
        <v>432</v>
      </c>
      <c r="E102" s="24">
        <v>1</v>
      </c>
      <c r="F102" s="25">
        <v>650</v>
      </c>
      <c r="G102" s="26" t="s">
        <v>5</v>
      </c>
      <c r="H102" t="s">
        <v>8</v>
      </c>
    </row>
    <row r="103" spans="1:8" x14ac:dyDescent="0.3">
      <c r="A103">
        <v>106</v>
      </c>
      <c r="B103" s="2">
        <v>46274</v>
      </c>
      <c r="C103" t="s">
        <v>170</v>
      </c>
      <c r="D103" t="s">
        <v>432</v>
      </c>
      <c r="E103" s="24">
        <v>1</v>
      </c>
      <c r="F103" s="25">
        <v>650</v>
      </c>
      <c r="G103" s="26" t="s">
        <v>5</v>
      </c>
      <c r="H103" t="s">
        <v>8</v>
      </c>
    </row>
    <row r="104" spans="1:8" x14ac:dyDescent="0.3">
      <c r="A104">
        <v>107</v>
      </c>
      <c r="B104" s="2">
        <v>46274</v>
      </c>
      <c r="C104" t="s">
        <v>171</v>
      </c>
      <c r="D104" t="s">
        <v>432</v>
      </c>
      <c r="E104" s="24">
        <v>2</v>
      </c>
      <c r="F104" s="25">
        <v>1200</v>
      </c>
      <c r="G104" s="26" t="s">
        <v>62</v>
      </c>
      <c r="H104" t="s">
        <v>8</v>
      </c>
    </row>
    <row r="105" spans="1:8" x14ac:dyDescent="0.3">
      <c r="A105">
        <v>108</v>
      </c>
      <c r="B105" s="2">
        <v>46274</v>
      </c>
      <c r="C105" t="s">
        <v>172</v>
      </c>
      <c r="D105" t="s">
        <v>432</v>
      </c>
      <c r="E105" s="24">
        <v>1</v>
      </c>
      <c r="F105" s="25">
        <v>650</v>
      </c>
      <c r="G105" s="26" t="s">
        <v>5</v>
      </c>
      <c r="H105" t="s">
        <v>8</v>
      </c>
    </row>
    <row r="106" spans="1:8" x14ac:dyDescent="0.3">
      <c r="A106">
        <v>109</v>
      </c>
      <c r="B106" s="2">
        <v>46274</v>
      </c>
      <c r="C106" t="s">
        <v>155</v>
      </c>
      <c r="D106" t="s">
        <v>6</v>
      </c>
      <c r="E106" s="24">
        <v>2</v>
      </c>
      <c r="F106" s="25">
        <v>1750</v>
      </c>
      <c r="G106" s="26" t="s">
        <v>34</v>
      </c>
      <c r="H106">
        <v>182648832</v>
      </c>
    </row>
    <row r="107" spans="1:8" x14ac:dyDescent="0.3">
      <c r="A107">
        <v>110</v>
      </c>
      <c r="B107" s="2">
        <v>46274</v>
      </c>
      <c r="C107" t="s">
        <v>173</v>
      </c>
      <c r="D107" t="s">
        <v>6</v>
      </c>
      <c r="E107" s="24">
        <v>1</v>
      </c>
      <c r="F107" s="25">
        <v>950</v>
      </c>
      <c r="G107" s="26" t="s">
        <v>44</v>
      </c>
      <c r="H107">
        <v>182650321</v>
      </c>
    </row>
    <row r="108" spans="1:8" x14ac:dyDescent="0.3">
      <c r="A108">
        <v>111</v>
      </c>
      <c r="B108" s="2">
        <v>46274</v>
      </c>
      <c r="C108" t="s">
        <v>161</v>
      </c>
      <c r="D108" t="s">
        <v>432</v>
      </c>
      <c r="E108" s="24">
        <v>1</v>
      </c>
      <c r="F108" s="25">
        <v>650</v>
      </c>
      <c r="G108" s="26" t="s">
        <v>5</v>
      </c>
      <c r="H108" t="s">
        <v>8</v>
      </c>
    </row>
    <row r="109" spans="1:8" x14ac:dyDescent="0.3">
      <c r="A109">
        <v>112</v>
      </c>
      <c r="B109" s="2">
        <v>46274</v>
      </c>
      <c r="C109" t="s">
        <v>19</v>
      </c>
      <c r="D109" t="s">
        <v>1</v>
      </c>
      <c r="E109" s="24">
        <v>2</v>
      </c>
      <c r="F109" s="25">
        <v>950</v>
      </c>
      <c r="G109" s="26" t="s">
        <v>175</v>
      </c>
      <c r="H109" t="s">
        <v>174</v>
      </c>
    </row>
    <row r="110" spans="1:8" x14ac:dyDescent="0.3">
      <c r="A110">
        <v>113</v>
      </c>
      <c r="B110" s="2">
        <v>46274</v>
      </c>
      <c r="C110" t="s">
        <v>176</v>
      </c>
      <c r="D110" t="s">
        <v>1</v>
      </c>
      <c r="E110" s="24">
        <v>1</v>
      </c>
      <c r="F110" s="25">
        <v>800</v>
      </c>
      <c r="G110" s="26" t="s">
        <v>50</v>
      </c>
      <c r="H110" t="s">
        <v>177</v>
      </c>
    </row>
    <row r="111" spans="1:8" x14ac:dyDescent="0.3">
      <c r="A111">
        <v>114</v>
      </c>
      <c r="B111" s="2">
        <v>46274</v>
      </c>
      <c r="C111" t="s">
        <v>143</v>
      </c>
      <c r="D111" t="s">
        <v>1</v>
      </c>
      <c r="E111" s="24">
        <v>1</v>
      </c>
      <c r="F111" s="25">
        <v>950</v>
      </c>
      <c r="G111" s="26" t="s">
        <v>5</v>
      </c>
      <c r="H111" t="s">
        <v>178</v>
      </c>
    </row>
    <row r="112" spans="1:8" x14ac:dyDescent="0.3">
      <c r="A112">
        <v>115</v>
      </c>
      <c r="B112" s="2">
        <v>46274</v>
      </c>
      <c r="C112" t="s">
        <v>63</v>
      </c>
      <c r="D112" t="s">
        <v>1</v>
      </c>
      <c r="E112" s="24">
        <v>2</v>
      </c>
      <c r="F112" s="25">
        <v>1600</v>
      </c>
      <c r="G112" s="26" t="s">
        <v>180</v>
      </c>
      <c r="H112" t="s">
        <v>179</v>
      </c>
    </row>
    <row r="113" spans="1:8" x14ac:dyDescent="0.3">
      <c r="A113">
        <v>116</v>
      </c>
      <c r="B113" s="2">
        <v>46274</v>
      </c>
      <c r="C113" t="s">
        <v>163</v>
      </c>
      <c r="D113" t="s">
        <v>1</v>
      </c>
      <c r="E113" s="24">
        <v>1</v>
      </c>
      <c r="F113" s="25">
        <v>950</v>
      </c>
      <c r="G113" s="26" t="s">
        <v>44</v>
      </c>
      <c r="H113" t="s">
        <v>181</v>
      </c>
    </row>
    <row r="114" spans="1:8" x14ac:dyDescent="0.3">
      <c r="A114">
        <v>117</v>
      </c>
      <c r="B114" s="2">
        <v>46274</v>
      </c>
      <c r="C114" t="s">
        <v>182</v>
      </c>
      <c r="D114" t="s">
        <v>1</v>
      </c>
      <c r="E114" s="24">
        <v>1</v>
      </c>
      <c r="F114" s="25">
        <v>950</v>
      </c>
      <c r="G114" s="26" t="s">
        <v>44</v>
      </c>
      <c r="H114" t="s">
        <v>183</v>
      </c>
    </row>
    <row r="115" spans="1:8" x14ac:dyDescent="0.3">
      <c r="A115">
        <v>118</v>
      </c>
      <c r="B115" s="2">
        <v>46274</v>
      </c>
      <c r="C115" t="s">
        <v>111</v>
      </c>
      <c r="D115" t="s">
        <v>1</v>
      </c>
      <c r="E115" s="24">
        <v>1</v>
      </c>
      <c r="F115" s="25">
        <v>950</v>
      </c>
      <c r="G115" s="26" t="s">
        <v>5</v>
      </c>
      <c r="H115" t="s">
        <v>184</v>
      </c>
    </row>
    <row r="116" spans="1:8" x14ac:dyDescent="0.3">
      <c r="A116">
        <v>119</v>
      </c>
      <c r="B116" s="2">
        <v>46274</v>
      </c>
      <c r="C116" t="s">
        <v>66</v>
      </c>
      <c r="D116" t="s">
        <v>432</v>
      </c>
      <c r="E116" s="24">
        <v>1</v>
      </c>
      <c r="F116" s="25">
        <v>650</v>
      </c>
      <c r="G116" s="26" t="s">
        <v>5</v>
      </c>
      <c r="H116" t="s">
        <v>8</v>
      </c>
    </row>
    <row r="117" spans="1:8" x14ac:dyDescent="0.3">
      <c r="A117">
        <v>120</v>
      </c>
      <c r="B117" s="2">
        <v>46276</v>
      </c>
      <c r="C117" t="s">
        <v>185</v>
      </c>
      <c r="D117" t="s">
        <v>1</v>
      </c>
      <c r="E117" s="24">
        <v>2</v>
      </c>
      <c r="F117" s="25">
        <v>1600</v>
      </c>
      <c r="G117" s="26" t="s">
        <v>115</v>
      </c>
      <c r="H117" t="s">
        <v>186</v>
      </c>
    </row>
    <row r="118" spans="1:8" x14ac:dyDescent="0.3">
      <c r="A118">
        <v>121</v>
      </c>
      <c r="B118" s="2">
        <v>46276</v>
      </c>
      <c r="C118" t="s">
        <v>12</v>
      </c>
      <c r="D118" t="s">
        <v>432</v>
      </c>
      <c r="E118" s="24">
        <v>10</v>
      </c>
      <c r="F118" s="25">
        <v>5200</v>
      </c>
      <c r="G118" s="26" t="s">
        <v>102</v>
      </c>
      <c r="H118" t="s">
        <v>8</v>
      </c>
    </row>
    <row r="119" spans="1:8" x14ac:dyDescent="0.3">
      <c r="A119">
        <v>122</v>
      </c>
      <c r="B119" s="2">
        <v>46276</v>
      </c>
      <c r="C119" t="s">
        <v>36</v>
      </c>
      <c r="D119" t="s">
        <v>1</v>
      </c>
      <c r="E119" s="24">
        <v>1</v>
      </c>
      <c r="F119" s="25">
        <v>950</v>
      </c>
      <c r="G119" s="26" t="s">
        <v>5</v>
      </c>
      <c r="H119" t="s">
        <v>188</v>
      </c>
    </row>
    <row r="120" spans="1:8" x14ac:dyDescent="0.3">
      <c r="A120">
        <v>123</v>
      </c>
      <c r="B120" s="2">
        <v>46276</v>
      </c>
      <c r="C120" t="s">
        <v>189</v>
      </c>
      <c r="D120" t="s">
        <v>1</v>
      </c>
      <c r="E120" s="24">
        <v>1</v>
      </c>
      <c r="F120" s="25">
        <v>950</v>
      </c>
      <c r="G120" s="26" t="s">
        <v>5</v>
      </c>
      <c r="H120" t="s">
        <v>190</v>
      </c>
    </row>
    <row r="121" spans="1:8" x14ac:dyDescent="0.3">
      <c r="A121">
        <v>124</v>
      </c>
      <c r="B121" s="2">
        <v>46276</v>
      </c>
      <c r="C121" t="s">
        <v>191</v>
      </c>
      <c r="D121" t="s">
        <v>1</v>
      </c>
      <c r="E121" s="24">
        <v>2</v>
      </c>
      <c r="F121" s="25">
        <v>1900</v>
      </c>
      <c r="G121" s="26" t="s">
        <v>193</v>
      </c>
      <c r="H121" t="s">
        <v>192</v>
      </c>
    </row>
    <row r="122" spans="1:8" x14ac:dyDescent="0.3">
      <c r="A122">
        <v>125</v>
      </c>
      <c r="B122" s="2">
        <v>46276</v>
      </c>
      <c r="C122" t="s">
        <v>194</v>
      </c>
      <c r="D122" t="s">
        <v>1</v>
      </c>
      <c r="E122" s="24">
        <v>1</v>
      </c>
      <c r="F122" s="25">
        <v>950</v>
      </c>
      <c r="G122" s="26" t="s">
        <v>5</v>
      </c>
      <c r="H122" t="s">
        <v>195</v>
      </c>
    </row>
    <row r="123" spans="1:8" x14ac:dyDescent="0.3">
      <c r="A123">
        <v>126</v>
      </c>
      <c r="B123" s="2">
        <v>46276</v>
      </c>
      <c r="C123" t="s">
        <v>69</v>
      </c>
      <c r="D123" t="s">
        <v>1</v>
      </c>
      <c r="E123" s="24">
        <v>1</v>
      </c>
      <c r="F123" s="25">
        <v>950</v>
      </c>
      <c r="G123" s="26" t="s">
        <v>5</v>
      </c>
      <c r="H123" t="s">
        <v>196</v>
      </c>
    </row>
    <row r="124" spans="1:8" x14ac:dyDescent="0.3">
      <c r="A124">
        <v>127</v>
      </c>
      <c r="B124" s="2">
        <v>46276</v>
      </c>
      <c r="C124" t="s">
        <v>76</v>
      </c>
      <c r="D124" t="s">
        <v>1</v>
      </c>
      <c r="E124" s="24">
        <v>1</v>
      </c>
      <c r="F124" s="25">
        <v>950</v>
      </c>
      <c r="G124" s="26" t="s">
        <v>5</v>
      </c>
      <c r="H124" t="s">
        <v>197</v>
      </c>
    </row>
    <row r="125" spans="1:8" x14ac:dyDescent="0.3">
      <c r="A125">
        <v>128</v>
      </c>
      <c r="B125" s="2">
        <v>46276</v>
      </c>
      <c r="C125" t="s">
        <v>198</v>
      </c>
      <c r="D125" t="s">
        <v>1</v>
      </c>
      <c r="E125" s="24">
        <v>3</v>
      </c>
      <c r="F125" s="25">
        <v>2850</v>
      </c>
      <c r="G125" s="26" t="s">
        <v>200</v>
      </c>
      <c r="H125" t="s">
        <v>199</v>
      </c>
    </row>
    <row r="126" spans="1:8" x14ac:dyDescent="0.3">
      <c r="A126">
        <v>129</v>
      </c>
      <c r="B126" s="2">
        <v>46276</v>
      </c>
      <c r="C126" t="s">
        <v>169</v>
      </c>
      <c r="D126" t="s">
        <v>432</v>
      </c>
      <c r="E126" s="24">
        <v>1</v>
      </c>
      <c r="F126" s="25">
        <v>650</v>
      </c>
      <c r="G126" s="26" t="s">
        <v>5</v>
      </c>
      <c r="H126" t="s">
        <v>8</v>
      </c>
    </row>
    <row r="127" spans="1:8" x14ac:dyDescent="0.3">
      <c r="A127">
        <v>130</v>
      </c>
      <c r="B127" s="2">
        <v>46276</v>
      </c>
      <c r="C127" t="s">
        <v>201</v>
      </c>
      <c r="D127" t="s">
        <v>1</v>
      </c>
      <c r="E127" s="24">
        <v>2</v>
      </c>
      <c r="F127" s="25">
        <v>1900</v>
      </c>
      <c r="G127" s="26" t="s">
        <v>203</v>
      </c>
      <c r="H127" t="s">
        <v>202</v>
      </c>
    </row>
    <row r="128" spans="1:8" x14ac:dyDescent="0.3">
      <c r="A128">
        <v>131</v>
      </c>
      <c r="B128" s="2">
        <v>46276</v>
      </c>
      <c r="C128" t="s">
        <v>204</v>
      </c>
      <c r="D128" t="s">
        <v>1</v>
      </c>
      <c r="E128" s="24">
        <v>1</v>
      </c>
      <c r="F128" s="25">
        <v>950</v>
      </c>
      <c r="G128" s="26" t="s">
        <v>5</v>
      </c>
      <c r="H128" t="s">
        <v>205</v>
      </c>
    </row>
    <row r="129" spans="1:8" x14ac:dyDescent="0.3">
      <c r="A129">
        <v>134</v>
      </c>
      <c r="B129" s="2">
        <v>46279</v>
      </c>
      <c r="C129" t="s">
        <v>143</v>
      </c>
      <c r="D129" t="s">
        <v>1</v>
      </c>
      <c r="E129" s="24">
        <v>2</v>
      </c>
      <c r="F129" s="25">
        <v>1900</v>
      </c>
      <c r="G129" s="26" t="s">
        <v>84</v>
      </c>
      <c r="H129" t="s">
        <v>207</v>
      </c>
    </row>
    <row r="130" spans="1:8" x14ac:dyDescent="0.3">
      <c r="A130">
        <v>135</v>
      </c>
      <c r="B130" s="2">
        <v>46279</v>
      </c>
      <c r="C130" t="s">
        <v>12</v>
      </c>
      <c r="D130" t="s">
        <v>432</v>
      </c>
      <c r="E130" s="24">
        <v>6</v>
      </c>
      <c r="F130" s="25">
        <v>3200</v>
      </c>
      <c r="G130" s="26" t="s">
        <v>209</v>
      </c>
      <c r="H130" t="s">
        <v>8</v>
      </c>
    </row>
    <row r="131" spans="1:8" x14ac:dyDescent="0.3">
      <c r="A131">
        <v>136</v>
      </c>
      <c r="B131" s="2">
        <v>46279</v>
      </c>
      <c r="C131" t="s">
        <v>36</v>
      </c>
      <c r="D131" t="s">
        <v>1</v>
      </c>
      <c r="E131" s="24">
        <v>1</v>
      </c>
      <c r="F131" s="25">
        <v>950</v>
      </c>
      <c r="G131" s="26" t="s">
        <v>44</v>
      </c>
      <c r="H131" t="s">
        <v>210</v>
      </c>
    </row>
    <row r="132" spans="1:8" x14ac:dyDescent="0.3">
      <c r="A132">
        <v>137</v>
      </c>
      <c r="B132" s="2">
        <v>46279</v>
      </c>
      <c r="C132" t="s">
        <v>211</v>
      </c>
      <c r="D132" t="s">
        <v>1</v>
      </c>
      <c r="E132" s="24">
        <v>1</v>
      </c>
      <c r="F132" s="25">
        <v>950</v>
      </c>
      <c r="G132" s="26" t="s">
        <v>5</v>
      </c>
      <c r="H132" t="s">
        <v>212</v>
      </c>
    </row>
    <row r="133" spans="1:8" x14ac:dyDescent="0.3">
      <c r="A133">
        <v>138</v>
      </c>
      <c r="B133" s="2">
        <v>46279</v>
      </c>
      <c r="C133" t="s">
        <v>213</v>
      </c>
      <c r="D133" t="s">
        <v>6</v>
      </c>
      <c r="E133" s="24">
        <v>1</v>
      </c>
      <c r="F133" s="25">
        <v>950</v>
      </c>
      <c r="G133" s="26" t="s">
        <v>5</v>
      </c>
      <c r="H133">
        <v>182830182</v>
      </c>
    </row>
    <row r="134" spans="1:8" x14ac:dyDescent="0.3">
      <c r="A134">
        <v>139</v>
      </c>
      <c r="B134" s="2">
        <v>46279</v>
      </c>
      <c r="C134" t="s">
        <v>91</v>
      </c>
      <c r="D134" t="s">
        <v>432</v>
      </c>
      <c r="E134" s="24">
        <v>1</v>
      </c>
      <c r="F134" s="25">
        <v>650</v>
      </c>
      <c r="G134" s="26" t="s">
        <v>5</v>
      </c>
      <c r="H134" t="s">
        <v>8</v>
      </c>
    </row>
    <row r="135" spans="1:8" x14ac:dyDescent="0.3">
      <c r="A135">
        <v>140</v>
      </c>
      <c r="B135" s="2">
        <v>46279</v>
      </c>
      <c r="C135" t="s">
        <v>155</v>
      </c>
      <c r="D135" t="s">
        <v>6</v>
      </c>
      <c r="E135" s="24">
        <v>4</v>
      </c>
      <c r="F135" s="25">
        <v>3500</v>
      </c>
      <c r="G135" s="26" t="s">
        <v>215</v>
      </c>
      <c r="H135">
        <v>182830938</v>
      </c>
    </row>
    <row r="136" spans="1:8" x14ac:dyDescent="0.3">
      <c r="A136">
        <v>141</v>
      </c>
      <c r="B136" s="2">
        <v>46279</v>
      </c>
      <c r="C136" t="s">
        <v>161</v>
      </c>
      <c r="D136" t="s">
        <v>432</v>
      </c>
      <c r="E136" s="24">
        <v>1</v>
      </c>
      <c r="F136" s="25">
        <v>650</v>
      </c>
      <c r="G136" s="26" t="s">
        <v>5</v>
      </c>
      <c r="H136" t="s">
        <v>8</v>
      </c>
    </row>
    <row r="137" spans="1:8" x14ac:dyDescent="0.3">
      <c r="A137">
        <v>142</v>
      </c>
      <c r="B137" s="2">
        <v>46279</v>
      </c>
      <c r="C137" t="s">
        <v>216</v>
      </c>
      <c r="D137" t="s">
        <v>432</v>
      </c>
      <c r="E137" s="24">
        <v>2</v>
      </c>
      <c r="F137" s="25">
        <v>1300</v>
      </c>
      <c r="G137" s="26" t="s">
        <v>84</v>
      </c>
      <c r="H137" t="s">
        <v>217</v>
      </c>
    </row>
    <row r="138" spans="1:8" x14ac:dyDescent="0.3">
      <c r="A138">
        <v>143</v>
      </c>
      <c r="B138" s="2">
        <v>46279</v>
      </c>
      <c r="C138" t="s">
        <v>218</v>
      </c>
      <c r="D138" t="s">
        <v>1</v>
      </c>
      <c r="E138" s="24">
        <v>2</v>
      </c>
      <c r="F138" s="25">
        <v>1600</v>
      </c>
      <c r="G138" s="26" t="s">
        <v>115</v>
      </c>
      <c r="H138" t="s">
        <v>219</v>
      </c>
    </row>
    <row r="139" spans="1:8" x14ac:dyDescent="0.3">
      <c r="A139">
        <v>144</v>
      </c>
      <c r="B139" s="2">
        <v>46279</v>
      </c>
      <c r="C139" t="s">
        <v>66</v>
      </c>
      <c r="D139" t="s">
        <v>432</v>
      </c>
      <c r="E139" s="24">
        <v>1</v>
      </c>
      <c r="F139" s="25">
        <v>650</v>
      </c>
      <c r="G139" s="26" t="s">
        <v>5</v>
      </c>
      <c r="H139" t="s">
        <v>8</v>
      </c>
    </row>
    <row r="140" spans="1:8" x14ac:dyDescent="0.3">
      <c r="A140">
        <v>145</v>
      </c>
      <c r="B140" s="2">
        <v>46279</v>
      </c>
      <c r="C140" t="s">
        <v>110</v>
      </c>
      <c r="D140" t="s">
        <v>432</v>
      </c>
      <c r="E140" s="24">
        <v>1</v>
      </c>
      <c r="F140" s="25">
        <v>650</v>
      </c>
      <c r="G140" s="26" t="s">
        <v>5</v>
      </c>
      <c r="H140" t="s">
        <v>8</v>
      </c>
    </row>
    <row r="141" spans="1:8" x14ac:dyDescent="0.3">
      <c r="A141">
        <v>146</v>
      </c>
      <c r="B141" s="2">
        <v>46279</v>
      </c>
      <c r="C141" t="s">
        <v>45</v>
      </c>
      <c r="D141" t="s">
        <v>432</v>
      </c>
      <c r="E141" s="24">
        <v>1</v>
      </c>
      <c r="F141" s="25">
        <v>650</v>
      </c>
      <c r="G141" s="26" t="s">
        <v>44</v>
      </c>
      <c r="H141" t="s">
        <v>8</v>
      </c>
    </row>
    <row r="142" spans="1:8" x14ac:dyDescent="0.3">
      <c r="A142">
        <v>147</v>
      </c>
      <c r="B142" s="2">
        <v>46279</v>
      </c>
      <c r="C142" t="s">
        <v>45</v>
      </c>
      <c r="D142" t="s">
        <v>432</v>
      </c>
      <c r="E142" s="24">
        <v>1</v>
      </c>
      <c r="F142" s="25">
        <v>550</v>
      </c>
      <c r="G142" s="26" t="s">
        <v>50</v>
      </c>
      <c r="H142" t="s">
        <v>8</v>
      </c>
    </row>
    <row r="143" spans="1:8" x14ac:dyDescent="0.3">
      <c r="A143">
        <v>148</v>
      </c>
      <c r="B143" s="2">
        <v>46279</v>
      </c>
      <c r="C143" t="s">
        <v>220</v>
      </c>
      <c r="D143" t="s">
        <v>432</v>
      </c>
      <c r="E143" s="24">
        <v>1</v>
      </c>
      <c r="F143" s="25">
        <v>650</v>
      </c>
      <c r="G143" s="26" t="s">
        <v>44</v>
      </c>
      <c r="H143" t="s">
        <v>8</v>
      </c>
    </row>
    <row r="144" spans="1:8" x14ac:dyDescent="0.3">
      <c r="A144">
        <v>149</v>
      </c>
      <c r="B144" s="2">
        <v>46280</v>
      </c>
      <c r="C144" t="s">
        <v>169</v>
      </c>
      <c r="D144" t="s">
        <v>432</v>
      </c>
      <c r="E144" s="24">
        <v>1</v>
      </c>
      <c r="F144" s="25">
        <v>650</v>
      </c>
      <c r="G144" s="26" t="s">
        <v>5</v>
      </c>
      <c r="H144" t="s">
        <v>8</v>
      </c>
    </row>
    <row r="145" spans="1:8" x14ac:dyDescent="0.3">
      <c r="A145">
        <v>150</v>
      </c>
      <c r="B145" s="2">
        <v>46280</v>
      </c>
      <c r="C145" t="s">
        <v>12</v>
      </c>
      <c r="D145" t="s">
        <v>432</v>
      </c>
      <c r="E145" s="24">
        <v>4</v>
      </c>
      <c r="F145" s="25">
        <v>2100</v>
      </c>
      <c r="G145" s="26" t="s">
        <v>42</v>
      </c>
      <c r="H145" t="s">
        <v>8</v>
      </c>
    </row>
    <row r="146" spans="1:8" x14ac:dyDescent="0.3">
      <c r="A146">
        <v>151</v>
      </c>
      <c r="B146" s="2">
        <v>46280</v>
      </c>
      <c r="C146" t="s">
        <v>221</v>
      </c>
      <c r="D146" t="s">
        <v>432</v>
      </c>
      <c r="E146" s="24">
        <v>1</v>
      </c>
      <c r="F146" s="25">
        <v>650</v>
      </c>
      <c r="G146" s="26" t="s">
        <v>44</v>
      </c>
      <c r="H146" t="s">
        <v>8</v>
      </c>
    </row>
    <row r="147" spans="1:8" x14ac:dyDescent="0.3">
      <c r="A147">
        <v>152</v>
      </c>
      <c r="B147" s="2">
        <v>46280</v>
      </c>
      <c r="C147" t="s">
        <v>81</v>
      </c>
      <c r="D147" t="s">
        <v>432</v>
      </c>
      <c r="E147" s="24">
        <v>2</v>
      </c>
      <c r="F147" s="25">
        <v>1300</v>
      </c>
      <c r="G147" s="26" t="s">
        <v>28</v>
      </c>
      <c r="H147" t="s">
        <v>8</v>
      </c>
    </row>
    <row r="148" spans="1:8" x14ac:dyDescent="0.3">
      <c r="A148">
        <v>153</v>
      </c>
      <c r="B148" s="2">
        <v>46280</v>
      </c>
      <c r="C148" t="s">
        <v>204</v>
      </c>
      <c r="D148" t="s">
        <v>1</v>
      </c>
      <c r="E148" s="24">
        <v>3</v>
      </c>
      <c r="F148" s="25">
        <v>2550</v>
      </c>
      <c r="G148" s="26" t="s">
        <v>224</v>
      </c>
      <c r="H148" t="s">
        <v>222</v>
      </c>
    </row>
    <row r="149" spans="1:8" x14ac:dyDescent="0.3">
      <c r="A149">
        <v>154</v>
      </c>
      <c r="B149" s="2">
        <v>46280</v>
      </c>
      <c r="C149" t="s">
        <v>225</v>
      </c>
      <c r="D149" t="s">
        <v>432</v>
      </c>
      <c r="E149" s="24">
        <v>5</v>
      </c>
      <c r="F149" s="25">
        <v>3000</v>
      </c>
      <c r="G149" s="26" t="s">
        <v>227</v>
      </c>
      <c r="H149" t="s">
        <v>8</v>
      </c>
    </row>
    <row r="150" spans="1:8" x14ac:dyDescent="0.3">
      <c r="A150">
        <v>155</v>
      </c>
      <c r="B150" s="2">
        <v>46280</v>
      </c>
      <c r="C150" t="s">
        <v>201</v>
      </c>
      <c r="D150" t="s">
        <v>1</v>
      </c>
      <c r="E150" s="24">
        <v>3</v>
      </c>
      <c r="F150" s="25">
        <v>2700</v>
      </c>
      <c r="G150" s="26" t="s">
        <v>230</v>
      </c>
      <c r="H150" t="s">
        <v>228</v>
      </c>
    </row>
    <row r="151" spans="1:8" x14ac:dyDescent="0.3">
      <c r="A151">
        <v>156</v>
      </c>
      <c r="B151" s="2">
        <v>46280</v>
      </c>
      <c r="C151" t="s">
        <v>231</v>
      </c>
      <c r="D151" t="s">
        <v>1</v>
      </c>
      <c r="E151" s="24">
        <v>1</v>
      </c>
      <c r="F151" s="25">
        <v>950</v>
      </c>
      <c r="G151" s="26" t="s">
        <v>5</v>
      </c>
      <c r="H151" t="s">
        <v>232</v>
      </c>
    </row>
    <row r="152" spans="1:8" x14ac:dyDescent="0.3">
      <c r="A152">
        <v>157</v>
      </c>
      <c r="B152" s="2">
        <v>46280</v>
      </c>
      <c r="C152" t="s">
        <v>59</v>
      </c>
      <c r="D152" t="s">
        <v>1</v>
      </c>
      <c r="E152" s="24">
        <v>1</v>
      </c>
      <c r="F152" s="25">
        <v>950</v>
      </c>
      <c r="G152" s="26" t="s">
        <v>5</v>
      </c>
      <c r="H152" t="s">
        <v>233</v>
      </c>
    </row>
    <row r="153" spans="1:8" x14ac:dyDescent="0.3">
      <c r="A153">
        <v>158</v>
      </c>
      <c r="B153" s="2">
        <v>46280</v>
      </c>
      <c r="C153" t="s">
        <v>138</v>
      </c>
      <c r="D153" t="s">
        <v>1</v>
      </c>
      <c r="E153" s="24">
        <v>2</v>
      </c>
      <c r="F153" s="25">
        <v>1750</v>
      </c>
      <c r="G153" s="26" t="s">
        <v>62</v>
      </c>
      <c r="H153" t="s">
        <v>234</v>
      </c>
    </row>
    <row r="154" spans="1:8" x14ac:dyDescent="0.3">
      <c r="A154">
        <v>159</v>
      </c>
      <c r="B154" s="2">
        <v>46280</v>
      </c>
      <c r="C154" t="s">
        <v>149</v>
      </c>
      <c r="D154" t="s">
        <v>1</v>
      </c>
      <c r="E154" s="24">
        <v>1</v>
      </c>
      <c r="F154" s="25">
        <v>950</v>
      </c>
      <c r="G154" s="26" t="s">
        <v>5</v>
      </c>
      <c r="H154" t="s">
        <v>235</v>
      </c>
    </row>
    <row r="155" spans="1:8" x14ac:dyDescent="0.3">
      <c r="A155">
        <v>160</v>
      </c>
      <c r="B155" s="2">
        <v>46280</v>
      </c>
      <c r="C155" t="s">
        <v>162</v>
      </c>
      <c r="D155" t="s">
        <v>6</v>
      </c>
      <c r="E155" s="24">
        <v>1</v>
      </c>
      <c r="F155" s="25">
        <v>850</v>
      </c>
      <c r="G155" s="26" t="s">
        <v>44</v>
      </c>
      <c r="H155">
        <v>182880036</v>
      </c>
    </row>
    <row r="156" spans="1:8" x14ac:dyDescent="0.3">
      <c r="A156">
        <v>161</v>
      </c>
      <c r="B156" s="2">
        <v>46280</v>
      </c>
      <c r="C156" t="s">
        <v>45</v>
      </c>
      <c r="D156" t="s">
        <v>432</v>
      </c>
      <c r="E156" s="24">
        <v>1</v>
      </c>
      <c r="F156" s="25">
        <v>550</v>
      </c>
      <c r="G156" s="26" t="s">
        <v>50</v>
      </c>
      <c r="H156" t="s">
        <v>8</v>
      </c>
    </row>
    <row r="157" spans="1:8" x14ac:dyDescent="0.3">
      <c r="A157">
        <v>162</v>
      </c>
      <c r="B157" s="2">
        <v>46280</v>
      </c>
      <c r="C157" t="s">
        <v>237</v>
      </c>
      <c r="D157" t="s">
        <v>1</v>
      </c>
      <c r="E157" s="24">
        <v>2</v>
      </c>
      <c r="F157" s="25">
        <v>1900</v>
      </c>
      <c r="G157" s="26" t="s">
        <v>193</v>
      </c>
      <c r="H157" t="s">
        <v>238</v>
      </c>
    </row>
    <row r="158" spans="1:8" x14ac:dyDescent="0.3">
      <c r="A158">
        <v>163</v>
      </c>
      <c r="B158" s="2">
        <v>46281</v>
      </c>
      <c r="C158" t="s">
        <v>12</v>
      </c>
      <c r="D158" t="s">
        <v>432</v>
      </c>
      <c r="E158" s="24">
        <v>6</v>
      </c>
      <c r="F158" s="25">
        <v>3200</v>
      </c>
      <c r="G158" s="26" t="s">
        <v>239</v>
      </c>
      <c r="H158" t="s">
        <v>8</v>
      </c>
    </row>
    <row r="159" spans="1:8" x14ac:dyDescent="0.3">
      <c r="A159">
        <v>164</v>
      </c>
      <c r="B159" s="2">
        <v>46281</v>
      </c>
      <c r="C159" t="s">
        <v>19</v>
      </c>
      <c r="D159" t="s">
        <v>1</v>
      </c>
      <c r="E159" s="24">
        <v>2</v>
      </c>
      <c r="F159" s="25">
        <v>1900</v>
      </c>
      <c r="G159" s="26" t="s">
        <v>84</v>
      </c>
      <c r="H159" t="s">
        <v>240</v>
      </c>
    </row>
    <row r="160" spans="1:8" x14ac:dyDescent="0.3">
      <c r="A160">
        <v>165</v>
      </c>
      <c r="B160" s="2">
        <v>46281</v>
      </c>
      <c r="C160" t="s">
        <v>225</v>
      </c>
      <c r="D160" t="s">
        <v>432</v>
      </c>
      <c r="E160" s="24">
        <v>4</v>
      </c>
      <c r="F160" s="25">
        <v>2600</v>
      </c>
      <c r="G160" s="26" t="s">
        <v>242</v>
      </c>
      <c r="H160" t="s">
        <v>8</v>
      </c>
    </row>
    <row r="161" spans="1:8" x14ac:dyDescent="0.3">
      <c r="A161">
        <v>166</v>
      </c>
      <c r="B161" s="2">
        <v>46281</v>
      </c>
      <c r="C161" t="s">
        <v>243</v>
      </c>
      <c r="D161" t="s">
        <v>1</v>
      </c>
      <c r="E161" s="24">
        <v>1</v>
      </c>
      <c r="F161" s="25">
        <v>950</v>
      </c>
      <c r="G161" s="26" t="s">
        <v>44</v>
      </c>
      <c r="H161" t="s">
        <v>244</v>
      </c>
    </row>
    <row r="162" spans="1:8" x14ac:dyDescent="0.3">
      <c r="A162">
        <v>167</v>
      </c>
      <c r="B162" s="2">
        <v>46281</v>
      </c>
      <c r="C162" t="s">
        <v>245</v>
      </c>
      <c r="D162" t="s">
        <v>432</v>
      </c>
      <c r="E162" s="24">
        <v>1</v>
      </c>
      <c r="F162" s="25">
        <v>550</v>
      </c>
      <c r="G162" s="26" t="s">
        <v>90</v>
      </c>
      <c r="H162" t="s">
        <v>8</v>
      </c>
    </row>
    <row r="163" spans="1:8" x14ac:dyDescent="0.3">
      <c r="A163">
        <v>168</v>
      </c>
      <c r="B163" s="2">
        <v>46281</v>
      </c>
      <c r="C163" t="s">
        <v>104</v>
      </c>
      <c r="D163" t="s">
        <v>1</v>
      </c>
      <c r="E163" s="24">
        <v>1</v>
      </c>
      <c r="F163" s="25">
        <v>950</v>
      </c>
      <c r="G163" s="26" t="s">
        <v>5</v>
      </c>
      <c r="H163" t="s">
        <v>246</v>
      </c>
    </row>
    <row r="164" spans="1:8" x14ac:dyDescent="0.3">
      <c r="A164">
        <v>169</v>
      </c>
      <c r="B164" s="2">
        <v>46281</v>
      </c>
      <c r="C164" t="s">
        <v>167</v>
      </c>
      <c r="D164" t="s">
        <v>1</v>
      </c>
      <c r="E164" s="24">
        <v>1</v>
      </c>
      <c r="F164" s="25">
        <v>950</v>
      </c>
      <c r="G164" s="26" t="s">
        <v>44</v>
      </c>
      <c r="H164">
        <v>81039</v>
      </c>
    </row>
    <row r="165" spans="1:8" x14ac:dyDescent="0.3">
      <c r="A165">
        <v>170</v>
      </c>
      <c r="B165" s="2">
        <v>46281</v>
      </c>
      <c r="C165" t="s">
        <v>111</v>
      </c>
      <c r="D165" t="s">
        <v>1</v>
      </c>
      <c r="E165" s="24">
        <v>2</v>
      </c>
      <c r="F165" s="25">
        <v>1750</v>
      </c>
      <c r="G165" s="26" t="s">
        <v>248</v>
      </c>
      <c r="H165" t="s">
        <v>247</v>
      </c>
    </row>
    <row r="166" spans="1:8" x14ac:dyDescent="0.3">
      <c r="A166">
        <v>171</v>
      </c>
      <c r="B166" s="2">
        <v>46281</v>
      </c>
      <c r="C166" t="s">
        <v>161</v>
      </c>
      <c r="D166" t="s">
        <v>432</v>
      </c>
      <c r="E166" s="24">
        <v>1</v>
      </c>
      <c r="F166" s="25">
        <v>650</v>
      </c>
      <c r="G166" s="26" t="s">
        <v>5</v>
      </c>
      <c r="H166" t="s">
        <v>8</v>
      </c>
    </row>
    <row r="167" spans="1:8" x14ac:dyDescent="0.3">
      <c r="A167">
        <v>172</v>
      </c>
      <c r="B167" s="2">
        <v>46281</v>
      </c>
      <c r="C167" t="s">
        <v>79</v>
      </c>
      <c r="D167" t="s">
        <v>6</v>
      </c>
      <c r="E167" s="24">
        <v>1</v>
      </c>
      <c r="F167" s="25">
        <v>950</v>
      </c>
      <c r="G167" s="26" t="s">
        <v>249</v>
      </c>
      <c r="H167">
        <v>182906320</v>
      </c>
    </row>
    <row r="168" spans="1:8" x14ac:dyDescent="0.3">
      <c r="A168">
        <v>173</v>
      </c>
      <c r="B168" s="2">
        <v>46281</v>
      </c>
      <c r="C168" t="s">
        <v>45</v>
      </c>
      <c r="D168" t="s">
        <v>432</v>
      </c>
      <c r="E168" s="24">
        <v>2</v>
      </c>
      <c r="F168" s="25">
        <v>1200</v>
      </c>
      <c r="G168" s="26" t="s">
        <v>62</v>
      </c>
      <c r="H168" t="s">
        <v>8</v>
      </c>
    </row>
    <row r="169" spans="1:8" x14ac:dyDescent="0.3">
      <c r="A169">
        <v>174</v>
      </c>
      <c r="B169" s="2">
        <v>46281</v>
      </c>
      <c r="C169" t="s">
        <v>162</v>
      </c>
      <c r="D169" t="s">
        <v>6</v>
      </c>
      <c r="E169" s="24">
        <v>1</v>
      </c>
      <c r="F169" s="25">
        <v>950</v>
      </c>
      <c r="G169" s="26" t="s">
        <v>44</v>
      </c>
      <c r="H169">
        <v>182908526</v>
      </c>
    </row>
    <row r="170" spans="1:8" x14ac:dyDescent="0.3">
      <c r="A170">
        <v>175</v>
      </c>
      <c r="B170" s="2">
        <v>46281</v>
      </c>
      <c r="C170" t="s">
        <v>250</v>
      </c>
      <c r="D170" t="s">
        <v>1</v>
      </c>
      <c r="E170" s="24">
        <v>2</v>
      </c>
      <c r="F170" s="25">
        <v>1900</v>
      </c>
      <c r="G170" s="26" t="s">
        <v>193</v>
      </c>
      <c r="H170">
        <v>23565</v>
      </c>
    </row>
    <row r="171" spans="1:8" x14ac:dyDescent="0.3">
      <c r="A171">
        <v>176</v>
      </c>
      <c r="B171" s="2">
        <v>46281</v>
      </c>
      <c r="C171" t="s">
        <v>143</v>
      </c>
      <c r="D171" t="s">
        <v>1</v>
      </c>
      <c r="E171" s="24">
        <v>1</v>
      </c>
      <c r="F171" s="25">
        <v>950</v>
      </c>
      <c r="G171" s="26" t="s">
        <v>5</v>
      </c>
      <c r="H171" t="s">
        <v>251</v>
      </c>
    </row>
    <row r="172" spans="1:8" x14ac:dyDescent="0.3">
      <c r="A172">
        <v>177</v>
      </c>
      <c r="B172" s="2">
        <v>46281</v>
      </c>
      <c r="C172" t="s">
        <v>99</v>
      </c>
      <c r="D172" t="s">
        <v>432</v>
      </c>
      <c r="E172" s="24">
        <v>1</v>
      </c>
      <c r="F172" s="25">
        <v>650</v>
      </c>
      <c r="G172" s="26" t="s">
        <v>5</v>
      </c>
      <c r="H172" t="s">
        <v>8</v>
      </c>
    </row>
    <row r="173" spans="1:8" x14ac:dyDescent="0.3">
      <c r="A173">
        <v>178</v>
      </c>
      <c r="B173" s="2">
        <v>46281</v>
      </c>
      <c r="C173" t="s">
        <v>66</v>
      </c>
      <c r="D173" t="s">
        <v>432</v>
      </c>
      <c r="E173" s="24">
        <v>1</v>
      </c>
      <c r="F173" s="25">
        <v>650</v>
      </c>
      <c r="G173" s="26" t="s">
        <v>5</v>
      </c>
      <c r="H173" t="s">
        <v>8</v>
      </c>
    </row>
    <row r="174" spans="1:8" x14ac:dyDescent="0.3">
      <c r="A174">
        <v>179</v>
      </c>
      <c r="B174" s="2">
        <v>46281</v>
      </c>
      <c r="C174" t="s">
        <v>252</v>
      </c>
      <c r="D174" t="s">
        <v>432</v>
      </c>
      <c r="E174" s="24">
        <v>2</v>
      </c>
      <c r="F174" s="25">
        <v>1160</v>
      </c>
      <c r="G174" s="26" t="s">
        <v>254</v>
      </c>
      <c r="H174" t="s">
        <v>8</v>
      </c>
    </row>
    <row r="175" spans="1:8" x14ac:dyDescent="0.3">
      <c r="A175">
        <v>180</v>
      </c>
      <c r="B175" s="2">
        <v>46281</v>
      </c>
      <c r="C175" t="s">
        <v>252</v>
      </c>
      <c r="D175" t="s">
        <v>432</v>
      </c>
      <c r="E175" s="24">
        <v>3</v>
      </c>
      <c r="F175" s="25">
        <v>900</v>
      </c>
      <c r="G175" s="26" t="s">
        <v>256</v>
      </c>
      <c r="H175" t="s">
        <v>8</v>
      </c>
    </row>
    <row r="176" spans="1:8" x14ac:dyDescent="0.3">
      <c r="A176">
        <v>181</v>
      </c>
      <c r="B176" s="2">
        <v>46281</v>
      </c>
      <c r="C176" t="s">
        <v>252</v>
      </c>
      <c r="D176" t="s">
        <v>432</v>
      </c>
      <c r="E176" s="24">
        <v>3</v>
      </c>
      <c r="F176" s="25">
        <v>900</v>
      </c>
      <c r="G176" s="26" t="s">
        <v>257</v>
      </c>
      <c r="H176" t="s">
        <v>8</v>
      </c>
    </row>
    <row r="177" spans="1:8" x14ac:dyDescent="0.3">
      <c r="A177">
        <v>182</v>
      </c>
      <c r="B177" s="2">
        <v>46281</v>
      </c>
      <c r="C177" t="s">
        <v>252</v>
      </c>
      <c r="D177" t="s">
        <v>432</v>
      </c>
      <c r="E177" s="24">
        <v>1</v>
      </c>
      <c r="F177" s="25">
        <v>300</v>
      </c>
      <c r="G177" s="26" t="s">
        <v>259</v>
      </c>
      <c r="H177" t="s">
        <v>8</v>
      </c>
    </row>
    <row r="178" spans="1:8" x14ac:dyDescent="0.3">
      <c r="A178">
        <v>183</v>
      </c>
      <c r="B178" s="2">
        <v>46282</v>
      </c>
      <c r="C178" t="s">
        <v>252</v>
      </c>
      <c r="D178" t="s">
        <v>432</v>
      </c>
      <c r="E178" s="24">
        <v>2</v>
      </c>
      <c r="F178" s="25">
        <v>1300</v>
      </c>
      <c r="G178" s="26" t="s">
        <v>84</v>
      </c>
      <c r="H178" t="s">
        <v>8</v>
      </c>
    </row>
    <row r="179" spans="1:8" x14ac:dyDescent="0.3">
      <c r="A179">
        <v>184</v>
      </c>
      <c r="B179" s="2">
        <v>46282</v>
      </c>
      <c r="C179" t="s">
        <v>12</v>
      </c>
      <c r="D179" t="s">
        <v>432</v>
      </c>
      <c r="E179" s="24">
        <v>4</v>
      </c>
      <c r="F179" s="25">
        <v>2100</v>
      </c>
      <c r="G179" s="26" t="s">
        <v>260</v>
      </c>
      <c r="H179" t="s">
        <v>8</v>
      </c>
    </row>
    <row r="180" spans="1:8" x14ac:dyDescent="0.3">
      <c r="A180">
        <v>185</v>
      </c>
      <c r="B180" s="2">
        <v>46282</v>
      </c>
      <c r="C180" t="s">
        <v>261</v>
      </c>
      <c r="D180" t="s">
        <v>1</v>
      </c>
      <c r="E180" s="24">
        <v>1</v>
      </c>
      <c r="F180" s="25">
        <v>950</v>
      </c>
      <c r="G180" s="26" t="s">
        <v>44</v>
      </c>
      <c r="H180" t="s">
        <v>262</v>
      </c>
    </row>
    <row r="181" spans="1:8" x14ac:dyDescent="0.3">
      <c r="A181">
        <v>186</v>
      </c>
      <c r="B181" s="2">
        <v>46282</v>
      </c>
      <c r="C181" t="s">
        <v>213</v>
      </c>
      <c r="D181" t="s">
        <v>1</v>
      </c>
      <c r="E181" s="24">
        <v>2</v>
      </c>
      <c r="F181" s="25">
        <v>2330</v>
      </c>
      <c r="G181" s="26" t="s">
        <v>436</v>
      </c>
      <c r="H181" t="s">
        <v>263</v>
      </c>
    </row>
    <row r="182" spans="1:8" x14ac:dyDescent="0.3">
      <c r="A182">
        <v>187</v>
      </c>
      <c r="B182" s="2">
        <v>46282</v>
      </c>
      <c r="C182" t="s">
        <v>45</v>
      </c>
      <c r="D182" t="s">
        <v>432</v>
      </c>
      <c r="E182" s="24">
        <v>2</v>
      </c>
      <c r="F182" s="25">
        <v>1300</v>
      </c>
      <c r="G182" s="26" t="s">
        <v>28</v>
      </c>
      <c r="H182" t="s">
        <v>8</v>
      </c>
    </row>
    <row r="183" spans="1:8" x14ac:dyDescent="0.3">
      <c r="A183">
        <v>188</v>
      </c>
      <c r="B183" s="2">
        <v>46282</v>
      </c>
      <c r="C183" t="s">
        <v>266</v>
      </c>
      <c r="D183" t="s">
        <v>1</v>
      </c>
      <c r="E183" s="24">
        <v>1</v>
      </c>
      <c r="F183" s="25">
        <v>1530</v>
      </c>
      <c r="G183" s="26" t="s">
        <v>437</v>
      </c>
      <c r="H183" t="s">
        <v>267</v>
      </c>
    </row>
    <row r="184" spans="1:8" x14ac:dyDescent="0.3">
      <c r="A184">
        <v>189</v>
      </c>
      <c r="B184" s="2">
        <v>46282</v>
      </c>
      <c r="C184" t="s">
        <v>161</v>
      </c>
      <c r="D184" t="s">
        <v>432</v>
      </c>
      <c r="E184" s="24">
        <v>1</v>
      </c>
      <c r="F184" s="25">
        <v>650</v>
      </c>
      <c r="G184" s="26" t="s">
        <v>5</v>
      </c>
      <c r="H184" t="s">
        <v>8</v>
      </c>
    </row>
    <row r="185" spans="1:8" x14ac:dyDescent="0.3">
      <c r="A185">
        <v>190</v>
      </c>
      <c r="B185" s="2">
        <v>46282</v>
      </c>
      <c r="C185" t="s">
        <v>30</v>
      </c>
      <c r="D185" t="s">
        <v>1</v>
      </c>
      <c r="E185" s="24">
        <v>1</v>
      </c>
      <c r="F185" s="25">
        <v>950</v>
      </c>
      <c r="G185" s="26" t="s">
        <v>5</v>
      </c>
      <c r="H185" t="s">
        <v>270</v>
      </c>
    </row>
    <row r="186" spans="1:8" x14ac:dyDescent="0.3">
      <c r="A186">
        <v>191</v>
      </c>
      <c r="B186" s="2">
        <v>46282</v>
      </c>
      <c r="C186" t="s">
        <v>271</v>
      </c>
      <c r="D186" t="s">
        <v>1</v>
      </c>
      <c r="E186" s="24">
        <v>2</v>
      </c>
      <c r="F186" s="25">
        <v>1900</v>
      </c>
      <c r="G186" s="26" t="s">
        <v>28</v>
      </c>
      <c r="H186">
        <v>13036</v>
      </c>
    </row>
    <row r="187" spans="1:8" x14ac:dyDescent="0.3">
      <c r="A187">
        <v>192</v>
      </c>
      <c r="B187" s="2">
        <v>46282</v>
      </c>
      <c r="C187" t="s">
        <v>243</v>
      </c>
      <c r="D187" t="s">
        <v>1</v>
      </c>
      <c r="E187" s="24">
        <v>1</v>
      </c>
      <c r="F187" s="25">
        <v>950</v>
      </c>
      <c r="G187" s="26" t="s">
        <v>44</v>
      </c>
      <c r="H187" t="s">
        <v>272</v>
      </c>
    </row>
    <row r="188" spans="1:8" x14ac:dyDescent="0.3">
      <c r="A188">
        <v>193</v>
      </c>
      <c r="B188" s="2">
        <v>46282</v>
      </c>
      <c r="C188" t="s">
        <v>45</v>
      </c>
      <c r="D188" t="s">
        <v>432</v>
      </c>
      <c r="E188" s="24">
        <v>2</v>
      </c>
      <c r="F188" s="25">
        <v>1300</v>
      </c>
      <c r="G188" s="26" t="s">
        <v>84</v>
      </c>
      <c r="H188" t="s">
        <v>8</v>
      </c>
    </row>
    <row r="189" spans="1:8" x14ac:dyDescent="0.3">
      <c r="A189">
        <v>194</v>
      </c>
      <c r="B189" s="2">
        <v>46282</v>
      </c>
      <c r="C189" t="s">
        <v>273</v>
      </c>
      <c r="D189" t="s">
        <v>432</v>
      </c>
      <c r="E189" s="24">
        <v>1</v>
      </c>
      <c r="F189" s="25">
        <v>650</v>
      </c>
      <c r="G189" s="26" t="s">
        <v>5</v>
      </c>
      <c r="H189" t="s">
        <v>8</v>
      </c>
    </row>
    <row r="190" spans="1:8" x14ac:dyDescent="0.3">
      <c r="A190">
        <v>195</v>
      </c>
      <c r="B190" s="2">
        <v>46282</v>
      </c>
      <c r="C190" t="s">
        <v>45</v>
      </c>
      <c r="D190" t="s">
        <v>432</v>
      </c>
      <c r="E190" s="24">
        <v>1</v>
      </c>
      <c r="F190" s="25">
        <v>580</v>
      </c>
      <c r="G190" s="26" t="s">
        <v>275</v>
      </c>
      <c r="H190" t="s">
        <v>8</v>
      </c>
    </row>
    <row r="191" spans="1:8" x14ac:dyDescent="0.3">
      <c r="A191">
        <v>196</v>
      </c>
      <c r="B191" s="2">
        <v>46283</v>
      </c>
      <c r="C191" t="s">
        <v>12</v>
      </c>
      <c r="D191" t="s">
        <v>432</v>
      </c>
      <c r="E191" s="24">
        <v>8</v>
      </c>
      <c r="F191" s="25">
        <v>4200</v>
      </c>
      <c r="G191" s="26" t="s">
        <v>276</v>
      </c>
      <c r="H191" t="s">
        <v>8</v>
      </c>
    </row>
    <row r="192" spans="1:8" x14ac:dyDescent="0.3">
      <c r="A192">
        <v>197</v>
      </c>
      <c r="B192" s="2">
        <v>46283</v>
      </c>
      <c r="C192" t="s">
        <v>277</v>
      </c>
      <c r="D192" t="s">
        <v>432</v>
      </c>
      <c r="E192" s="24">
        <v>1</v>
      </c>
      <c r="F192" s="25">
        <v>650</v>
      </c>
      <c r="G192" s="26" t="s">
        <v>5</v>
      </c>
      <c r="H192" t="s">
        <v>8</v>
      </c>
    </row>
    <row r="193" spans="1:8" x14ac:dyDescent="0.3">
      <c r="A193">
        <v>198</v>
      </c>
      <c r="B193" s="2">
        <v>46283</v>
      </c>
      <c r="C193" t="s">
        <v>252</v>
      </c>
      <c r="D193" t="s">
        <v>432</v>
      </c>
      <c r="E193" s="24">
        <v>2</v>
      </c>
      <c r="F193" s="25">
        <v>1300</v>
      </c>
      <c r="G193" s="26" t="s">
        <v>203</v>
      </c>
      <c r="H193" t="s">
        <v>8</v>
      </c>
    </row>
    <row r="194" spans="1:8" x14ac:dyDescent="0.3">
      <c r="A194">
        <v>199</v>
      </c>
      <c r="B194" s="2">
        <v>46283</v>
      </c>
      <c r="C194" t="s">
        <v>252</v>
      </c>
      <c r="D194" t="s">
        <v>432</v>
      </c>
      <c r="E194" s="24">
        <v>1</v>
      </c>
      <c r="F194" s="25">
        <v>550</v>
      </c>
      <c r="G194" s="26" t="s">
        <v>50</v>
      </c>
      <c r="H194" t="s">
        <v>8</v>
      </c>
    </row>
    <row r="195" spans="1:8" x14ac:dyDescent="0.3">
      <c r="A195">
        <v>200</v>
      </c>
      <c r="B195" s="2">
        <v>46283</v>
      </c>
      <c r="C195" t="s">
        <v>149</v>
      </c>
      <c r="D195" t="s">
        <v>1</v>
      </c>
      <c r="E195" s="24">
        <v>2</v>
      </c>
      <c r="F195" s="25">
        <v>1750</v>
      </c>
      <c r="G195" s="26" t="s">
        <v>34</v>
      </c>
      <c r="H195" t="s">
        <v>278</v>
      </c>
    </row>
    <row r="196" spans="1:8" x14ac:dyDescent="0.3">
      <c r="A196">
        <v>201</v>
      </c>
      <c r="B196" s="2">
        <v>46283</v>
      </c>
      <c r="C196" t="s">
        <v>279</v>
      </c>
      <c r="D196" t="s">
        <v>1</v>
      </c>
      <c r="E196" s="24">
        <v>2</v>
      </c>
      <c r="F196" s="25">
        <v>1750</v>
      </c>
      <c r="G196" s="26" t="s">
        <v>140</v>
      </c>
      <c r="H196" t="s">
        <v>280</v>
      </c>
    </row>
    <row r="197" spans="1:8" x14ac:dyDescent="0.3">
      <c r="A197">
        <v>202</v>
      </c>
      <c r="B197" s="2">
        <v>46283</v>
      </c>
      <c r="C197" t="s">
        <v>281</v>
      </c>
      <c r="D197" t="s">
        <v>1</v>
      </c>
      <c r="E197" s="24">
        <v>3</v>
      </c>
      <c r="F197" s="25">
        <v>2850</v>
      </c>
      <c r="G197" s="26" t="s">
        <v>98</v>
      </c>
      <c r="H197" t="s">
        <v>282</v>
      </c>
    </row>
    <row r="198" spans="1:8" x14ac:dyDescent="0.3">
      <c r="A198">
        <v>203</v>
      </c>
      <c r="B198" s="2">
        <v>46283</v>
      </c>
      <c r="C198" t="s">
        <v>19</v>
      </c>
      <c r="D198" t="s">
        <v>1</v>
      </c>
      <c r="E198" s="24">
        <v>3</v>
      </c>
      <c r="F198" s="25">
        <v>2850</v>
      </c>
      <c r="G198" s="26" t="s">
        <v>200</v>
      </c>
      <c r="H198" t="s">
        <v>283</v>
      </c>
    </row>
    <row r="199" spans="1:8" x14ac:dyDescent="0.3">
      <c r="A199">
        <v>204</v>
      </c>
      <c r="B199" s="2">
        <v>46283</v>
      </c>
      <c r="C199" t="s">
        <v>30</v>
      </c>
      <c r="D199" t="s">
        <v>1</v>
      </c>
      <c r="E199" s="24">
        <v>2</v>
      </c>
      <c r="F199" s="25">
        <v>1900</v>
      </c>
      <c r="G199" s="26" t="s">
        <v>84</v>
      </c>
      <c r="H199" t="s">
        <v>284</v>
      </c>
    </row>
    <row r="200" spans="1:8" x14ac:dyDescent="0.3">
      <c r="A200">
        <v>205</v>
      </c>
      <c r="B200" s="2">
        <v>46283</v>
      </c>
      <c r="C200" t="s">
        <v>45</v>
      </c>
      <c r="D200" t="s">
        <v>432</v>
      </c>
      <c r="E200" s="24">
        <v>1</v>
      </c>
      <c r="F200" s="25">
        <v>650</v>
      </c>
      <c r="G200" s="26" t="s">
        <v>5</v>
      </c>
      <c r="H200" t="s">
        <v>8</v>
      </c>
    </row>
    <row r="201" spans="1:8" x14ac:dyDescent="0.3">
      <c r="A201">
        <v>206</v>
      </c>
      <c r="B201" s="2">
        <v>46283</v>
      </c>
      <c r="C201" t="s">
        <v>45</v>
      </c>
      <c r="D201" t="s">
        <v>432</v>
      </c>
      <c r="E201" s="24">
        <v>1</v>
      </c>
      <c r="F201" s="25">
        <v>1130</v>
      </c>
      <c r="G201" s="26" t="s">
        <v>438</v>
      </c>
      <c r="H201" t="s">
        <v>8</v>
      </c>
    </row>
    <row r="202" spans="1:8" x14ac:dyDescent="0.3">
      <c r="A202">
        <v>207</v>
      </c>
      <c r="B202" s="2">
        <v>46283</v>
      </c>
      <c r="C202" t="s">
        <v>287</v>
      </c>
      <c r="D202" t="s">
        <v>432</v>
      </c>
      <c r="E202" s="24">
        <v>3</v>
      </c>
      <c r="F202" s="25">
        <v>2400</v>
      </c>
      <c r="G202" s="26" t="s">
        <v>289</v>
      </c>
      <c r="H202" t="s">
        <v>8</v>
      </c>
    </row>
    <row r="203" spans="1:8" x14ac:dyDescent="0.3">
      <c r="A203">
        <v>210</v>
      </c>
      <c r="B203" s="2">
        <v>46286</v>
      </c>
      <c r="C203" t="s">
        <v>12</v>
      </c>
      <c r="D203" t="s">
        <v>432</v>
      </c>
      <c r="E203" s="24">
        <v>6</v>
      </c>
      <c r="F203" s="25">
        <v>4200</v>
      </c>
      <c r="G203" s="26" t="s">
        <v>239</v>
      </c>
      <c r="H203" t="s">
        <v>8</v>
      </c>
    </row>
    <row r="204" spans="1:8" x14ac:dyDescent="0.3">
      <c r="A204">
        <v>211</v>
      </c>
      <c r="B204" s="2">
        <v>46286</v>
      </c>
      <c r="C204" t="s">
        <v>291</v>
      </c>
      <c r="D204" t="s">
        <v>1</v>
      </c>
      <c r="E204" s="24">
        <v>2</v>
      </c>
      <c r="F204" s="25">
        <v>1750</v>
      </c>
      <c r="G204" s="26" t="s">
        <v>293</v>
      </c>
      <c r="H204" t="s">
        <v>292</v>
      </c>
    </row>
    <row r="205" spans="1:8" x14ac:dyDescent="0.3">
      <c r="A205">
        <v>212</v>
      </c>
      <c r="B205" s="2">
        <v>46286</v>
      </c>
      <c r="C205" t="s">
        <v>19</v>
      </c>
      <c r="D205" t="s">
        <v>1</v>
      </c>
      <c r="E205" s="24">
        <v>1</v>
      </c>
      <c r="F205" s="25">
        <v>950</v>
      </c>
      <c r="G205" s="26" t="s">
        <v>5</v>
      </c>
      <c r="H205" t="s">
        <v>294</v>
      </c>
    </row>
    <row r="206" spans="1:8" x14ac:dyDescent="0.3">
      <c r="A206">
        <v>213</v>
      </c>
      <c r="B206" s="2">
        <v>46286</v>
      </c>
      <c r="C206" t="s">
        <v>64</v>
      </c>
      <c r="D206" t="s">
        <v>432</v>
      </c>
      <c r="E206" s="24">
        <v>1</v>
      </c>
      <c r="F206" s="25">
        <v>650</v>
      </c>
      <c r="G206" s="26" t="s">
        <v>5</v>
      </c>
      <c r="H206" t="s">
        <v>8</v>
      </c>
    </row>
    <row r="207" spans="1:8" x14ac:dyDescent="0.3">
      <c r="A207">
        <v>214</v>
      </c>
      <c r="B207" s="2">
        <v>46286</v>
      </c>
      <c r="C207" t="s">
        <v>231</v>
      </c>
      <c r="D207" t="s">
        <v>1</v>
      </c>
      <c r="E207" s="24">
        <v>1</v>
      </c>
      <c r="F207" s="25">
        <v>950</v>
      </c>
      <c r="G207" s="26" t="s">
        <v>5</v>
      </c>
      <c r="H207" t="s">
        <v>295</v>
      </c>
    </row>
    <row r="208" spans="1:8" x14ac:dyDescent="0.3">
      <c r="A208">
        <v>215</v>
      </c>
      <c r="B208" s="2">
        <v>46286</v>
      </c>
      <c r="C208" t="s">
        <v>68</v>
      </c>
      <c r="D208" t="s">
        <v>432</v>
      </c>
      <c r="E208" s="24">
        <v>2</v>
      </c>
      <c r="F208" s="25">
        <v>1100</v>
      </c>
      <c r="G208" s="26" t="s">
        <v>296</v>
      </c>
      <c r="H208" t="s">
        <v>8</v>
      </c>
    </row>
    <row r="209" spans="1:8" x14ac:dyDescent="0.3">
      <c r="A209">
        <v>216</v>
      </c>
      <c r="B209" s="2">
        <v>46286</v>
      </c>
      <c r="C209" t="s">
        <v>243</v>
      </c>
      <c r="D209" t="s">
        <v>1</v>
      </c>
      <c r="E209" s="24">
        <v>1</v>
      </c>
      <c r="F209" s="25">
        <v>950</v>
      </c>
      <c r="G209" s="26" t="s">
        <v>44</v>
      </c>
      <c r="H209" t="s">
        <v>297</v>
      </c>
    </row>
    <row r="210" spans="1:8" x14ac:dyDescent="0.3">
      <c r="A210">
        <v>217</v>
      </c>
      <c r="B210" s="2">
        <v>46286</v>
      </c>
      <c r="C210" t="s">
        <v>298</v>
      </c>
      <c r="D210" t="s">
        <v>1</v>
      </c>
      <c r="E210" s="24">
        <v>1</v>
      </c>
      <c r="F210" s="25">
        <v>950</v>
      </c>
      <c r="G210" s="26" t="s">
        <v>5</v>
      </c>
      <c r="H210" t="s">
        <v>299</v>
      </c>
    </row>
    <row r="211" spans="1:8" x14ac:dyDescent="0.3">
      <c r="A211">
        <v>218</v>
      </c>
      <c r="B211" s="2">
        <v>46286</v>
      </c>
      <c r="C211" t="s">
        <v>45</v>
      </c>
      <c r="D211" t="s">
        <v>432</v>
      </c>
      <c r="E211" s="24">
        <v>1</v>
      </c>
      <c r="F211" s="25">
        <v>650</v>
      </c>
      <c r="G211" s="26" t="s">
        <v>44</v>
      </c>
      <c r="H211" t="s">
        <v>8</v>
      </c>
    </row>
    <row r="212" spans="1:8" x14ac:dyDescent="0.3">
      <c r="A212">
        <v>219</v>
      </c>
      <c r="B212" s="2">
        <v>46286</v>
      </c>
      <c r="C212" t="s">
        <v>161</v>
      </c>
      <c r="D212" t="s">
        <v>432</v>
      </c>
      <c r="E212" s="24">
        <v>1</v>
      </c>
      <c r="F212" s="25">
        <v>650</v>
      </c>
      <c r="G212" s="26" t="s">
        <v>5</v>
      </c>
      <c r="H212" t="s">
        <v>8</v>
      </c>
    </row>
    <row r="213" spans="1:8" x14ac:dyDescent="0.3">
      <c r="A213">
        <v>220</v>
      </c>
      <c r="B213" s="2">
        <v>46286</v>
      </c>
      <c r="C213" t="s">
        <v>66</v>
      </c>
      <c r="D213" t="s">
        <v>432</v>
      </c>
      <c r="E213" s="24">
        <v>1</v>
      </c>
      <c r="F213" s="25">
        <v>650</v>
      </c>
      <c r="G213" s="26" t="s">
        <v>5</v>
      </c>
      <c r="H213" t="s">
        <v>8</v>
      </c>
    </row>
    <row r="214" spans="1:8" x14ac:dyDescent="0.3">
      <c r="A214">
        <v>221</v>
      </c>
      <c r="B214" s="2">
        <v>46286</v>
      </c>
      <c r="C214" t="s">
        <v>300</v>
      </c>
      <c r="D214" t="s">
        <v>432</v>
      </c>
      <c r="E214" s="24">
        <v>1</v>
      </c>
      <c r="F214" s="25">
        <v>1130</v>
      </c>
      <c r="G214" s="26" t="s">
        <v>434</v>
      </c>
      <c r="H214" t="s">
        <v>8</v>
      </c>
    </row>
    <row r="215" spans="1:8" x14ac:dyDescent="0.3">
      <c r="A215">
        <v>222</v>
      </c>
      <c r="B215" s="2">
        <v>46286</v>
      </c>
      <c r="C215" t="s">
        <v>30</v>
      </c>
      <c r="D215" t="s">
        <v>1</v>
      </c>
      <c r="E215" s="24">
        <v>1</v>
      </c>
      <c r="F215" s="25">
        <v>950</v>
      </c>
      <c r="G215" s="26" t="s">
        <v>5</v>
      </c>
      <c r="H215" t="s">
        <v>301</v>
      </c>
    </row>
    <row r="216" spans="1:8" x14ac:dyDescent="0.3">
      <c r="A216">
        <v>223</v>
      </c>
      <c r="B216" s="2">
        <v>46286</v>
      </c>
      <c r="C216" t="s">
        <v>30</v>
      </c>
      <c r="D216" t="s">
        <v>1</v>
      </c>
      <c r="E216" s="24">
        <v>1</v>
      </c>
      <c r="F216" s="25">
        <v>950</v>
      </c>
      <c r="G216" s="26" t="s">
        <v>44</v>
      </c>
      <c r="H216" t="s">
        <v>302</v>
      </c>
    </row>
    <row r="217" spans="1:8" x14ac:dyDescent="0.3">
      <c r="A217">
        <v>224</v>
      </c>
      <c r="B217" s="2">
        <v>46286</v>
      </c>
      <c r="C217" t="s">
        <v>143</v>
      </c>
      <c r="D217" t="s">
        <v>1</v>
      </c>
      <c r="E217" s="24">
        <v>1</v>
      </c>
      <c r="F217" s="25">
        <v>1430</v>
      </c>
      <c r="G217" s="26" t="s">
        <v>439</v>
      </c>
      <c r="H217" t="s">
        <v>303</v>
      </c>
    </row>
    <row r="218" spans="1:8" x14ac:dyDescent="0.3">
      <c r="A218">
        <v>225</v>
      </c>
      <c r="B218" s="2">
        <v>46286</v>
      </c>
      <c r="C218" t="s">
        <v>287</v>
      </c>
      <c r="D218" t="s">
        <v>1</v>
      </c>
      <c r="E218" s="24">
        <v>2</v>
      </c>
      <c r="F218" s="25">
        <v>1600</v>
      </c>
      <c r="G218" s="26" t="s">
        <v>296</v>
      </c>
      <c r="H218" t="s">
        <v>306</v>
      </c>
    </row>
    <row r="219" spans="1:8" x14ac:dyDescent="0.3">
      <c r="A219">
        <v>226</v>
      </c>
      <c r="B219" s="2">
        <v>46286</v>
      </c>
      <c r="C219" t="s">
        <v>99</v>
      </c>
      <c r="D219" t="s">
        <v>432</v>
      </c>
      <c r="E219" s="24">
        <v>1</v>
      </c>
      <c r="F219" s="25">
        <v>650</v>
      </c>
      <c r="G219" s="26" t="s">
        <v>5</v>
      </c>
      <c r="H219" t="s">
        <v>8</v>
      </c>
    </row>
    <row r="220" spans="1:8" x14ac:dyDescent="0.3">
      <c r="A220">
        <v>227</v>
      </c>
      <c r="B220" s="2">
        <v>46286</v>
      </c>
      <c r="C220" t="s">
        <v>45</v>
      </c>
      <c r="D220" t="s">
        <v>432</v>
      </c>
      <c r="E220" s="24">
        <v>2</v>
      </c>
      <c r="F220" s="25">
        <v>1100</v>
      </c>
      <c r="G220" s="26" t="s">
        <v>296</v>
      </c>
      <c r="H220" t="s">
        <v>8</v>
      </c>
    </row>
    <row r="221" spans="1:8" x14ac:dyDescent="0.3">
      <c r="A221">
        <v>228</v>
      </c>
      <c r="B221" s="2">
        <v>46286</v>
      </c>
      <c r="C221" t="s">
        <v>307</v>
      </c>
      <c r="D221" t="s">
        <v>1</v>
      </c>
      <c r="E221" s="24">
        <v>1</v>
      </c>
      <c r="F221" s="25">
        <v>950</v>
      </c>
      <c r="G221" s="26" t="s">
        <v>5</v>
      </c>
      <c r="H221" t="s">
        <v>308</v>
      </c>
    </row>
    <row r="222" spans="1:8" x14ac:dyDescent="0.3">
      <c r="A222">
        <v>229</v>
      </c>
      <c r="B222" s="2">
        <v>46286</v>
      </c>
      <c r="C222" t="s">
        <v>111</v>
      </c>
      <c r="D222" t="s">
        <v>1</v>
      </c>
      <c r="E222" s="24">
        <v>2</v>
      </c>
      <c r="F222" s="25">
        <v>1750</v>
      </c>
      <c r="G222" s="26" t="s">
        <v>140</v>
      </c>
      <c r="H222" t="s">
        <v>309</v>
      </c>
    </row>
    <row r="223" spans="1:8" x14ac:dyDescent="0.3">
      <c r="A223">
        <v>230</v>
      </c>
      <c r="B223" s="2">
        <v>46287</v>
      </c>
      <c r="C223" t="s">
        <v>225</v>
      </c>
      <c r="D223" t="s">
        <v>432</v>
      </c>
      <c r="E223" s="24">
        <v>1</v>
      </c>
      <c r="F223" s="25">
        <v>650</v>
      </c>
      <c r="G223" s="26" t="s">
        <v>5</v>
      </c>
      <c r="H223" t="s">
        <v>8</v>
      </c>
    </row>
    <row r="224" spans="1:8" x14ac:dyDescent="0.3">
      <c r="A224">
        <v>231</v>
      </c>
      <c r="B224" s="2">
        <v>46287</v>
      </c>
      <c r="C224" t="s">
        <v>45</v>
      </c>
      <c r="D224" t="s">
        <v>432</v>
      </c>
      <c r="E224" s="24">
        <v>0</v>
      </c>
      <c r="F224" s="25">
        <v>480</v>
      </c>
      <c r="G224" s="26" t="s">
        <v>275</v>
      </c>
      <c r="H224" t="s">
        <v>8</v>
      </c>
    </row>
    <row r="225" spans="1:8" x14ac:dyDescent="0.3">
      <c r="A225">
        <v>232</v>
      </c>
      <c r="B225" s="2">
        <v>46287</v>
      </c>
      <c r="C225" t="s">
        <v>12</v>
      </c>
      <c r="D225" t="s">
        <v>432</v>
      </c>
      <c r="E225" s="24">
        <v>4</v>
      </c>
      <c r="F225" s="25">
        <v>2100</v>
      </c>
      <c r="G225" s="26" t="s">
        <v>42</v>
      </c>
      <c r="H225" t="s">
        <v>8</v>
      </c>
    </row>
    <row r="226" spans="1:8" x14ac:dyDescent="0.3">
      <c r="A226">
        <v>233</v>
      </c>
      <c r="B226" s="2">
        <v>46287</v>
      </c>
      <c r="C226" t="s">
        <v>311</v>
      </c>
      <c r="D226" t="s">
        <v>1</v>
      </c>
      <c r="E226" s="24">
        <v>2</v>
      </c>
      <c r="F226" s="25">
        <v>1750</v>
      </c>
      <c r="G226" s="26" t="s">
        <v>140</v>
      </c>
      <c r="H226" t="s">
        <v>312</v>
      </c>
    </row>
    <row r="227" spans="1:8" x14ac:dyDescent="0.3">
      <c r="A227">
        <v>234</v>
      </c>
      <c r="B227" s="2">
        <v>46287</v>
      </c>
      <c r="C227" t="s">
        <v>313</v>
      </c>
      <c r="D227" t="s">
        <v>1</v>
      </c>
      <c r="E227" s="24">
        <v>1</v>
      </c>
      <c r="F227" s="25">
        <v>950</v>
      </c>
      <c r="G227" s="26" t="s">
        <v>44</v>
      </c>
      <c r="H227" t="s">
        <v>314</v>
      </c>
    </row>
    <row r="228" spans="1:8" x14ac:dyDescent="0.3">
      <c r="A228">
        <v>235</v>
      </c>
      <c r="B228" s="2">
        <v>46287</v>
      </c>
      <c r="C228" t="s">
        <v>315</v>
      </c>
      <c r="D228" t="s">
        <v>1</v>
      </c>
      <c r="E228" s="24">
        <v>2</v>
      </c>
      <c r="F228" s="25">
        <v>1900</v>
      </c>
      <c r="G228" s="26" t="s">
        <v>193</v>
      </c>
      <c r="H228">
        <v>39995</v>
      </c>
    </row>
    <row r="229" spans="1:8" x14ac:dyDescent="0.3">
      <c r="A229">
        <v>236</v>
      </c>
      <c r="B229" s="2">
        <v>46287</v>
      </c>
      <c r="C229" t="s">
        <v>261</v>
      </c>
      <c r="D229" t="s">
        <v>1</v>
      </c>
      <c r="E229" s="24">
        <v>1</v>
      </c>
      <c r="F229" s="25">
        <v>1430</v>
      </c>
      <c r="G229" s="26" t="s">
        <v>440</v>
      </c>
      <c r="H229" t="s">
        <v>316</v>
      </c>
    </row>
    <row r="230" spans="1:8" x14ac:dyDescent="0.3">
      <c r="A230">
        <v>237</v>
      </c>
      <c r="B230" s="2">
        <v>46287</v>
      </c>
      <c r="C230" t="s">
        <v>318</v>
      </c>
      <c r="D230" t="s">
        <v>1</v>
      </c>
      <c r="E230" s="24">
        <v>2</v>
      </c>
      <c r="F230" s="25">
        <v>1750</v>
      </c>
      <c r="G230" s="26" t="s">
        <v>94</v>
      </c>
      <c r="H230" t="s">
        <v>319</v>
      </c>
    </row>
    <row r="231" spans="1:8" x14ac:dyDescent="0.3">
      <c r="A231">
        <v>238</v>
      </c>
      <c r="B231" s="2">
        <v>46287</v>
      </c>
      <c r="C231" t="s">
        <v>167</v>
      </c>
      <c r="D231" t="s">
        <v>1</v>
      </c>
      <c r="E231" s="24">
        <v>1</v>
      </c>
      <c r="F231" s="25">
        <v>950</v>
      </c>
      <c r="G231" s="26" t="s">
        <v>44</v>
      </c>
      <c r="H231" t="s">
        <v>320</v>
      </c>
    </row>
    <row r="232" spans="1:8" x14ac:dyDescent="0.3">
      <c r="A232">
        <v>239</v>
      </c>
      <c r="B232" s="2">
        <v>46287</v>
      </c>
      <c r="C232" t="s">
        <v>161</v>
      </c>
      <c r="D232" t="s">
        <v>432</v>
      </c>
      <c r="E232" s="24">
        <v>1</v>
      </c>
      <c r="F232" s="25">
        <v>650</v>
      </c>
      <c r="G232" s="26" t="s">
        <v>5</v>
      </c>
      <c r="H232" t="s">
        <v>8</v>
      </c>
    </row>
    <row r="233" spans="1:8" x14ac:dyDescent="0.3">
      <c r="A233">
        <v>240</v>
      </c>
      <c r="B233" s="2">
        <v>46287</v>
      </c>
      <c r="C233" t="s">
        <v>321</v>
      </c>
      <c r="D233" t="s">
        <v>432</v>
      </c>
      <c r="E233" s="24">
        <v>1</v>
      </c>
      <c r="F233" s="25">
        <v>1130</v>
      </c>
      <c r="G233" s="26" t="s">
        <v>441</v>
      </c>
      <c r="H233" t="s">
        <v>8</v>
      </c>
    </row>
    <row r="234" spans="1:8" x14ac:dyDescent="0.3">
      <c r="A234">
        <v>241</v>
      </c>
      <c r="B234" s="2">
        <v>46287</v>
      </c>
      <c r="C234" t="s">
        <v>323</v>
      </c>
      <c r="D234" t="s">
        <v>6</v>
      </c>
      <c r="E234" s="24">
        <v>1</v>
      </c>
      <c r="F234" s="25">
        <v>950</v>
      </c>
      <c r="G234" s="26" t="s">
        <v>5</v>
      </c>
      <c r="H234">
        <v>183120945</v>
      </c>
    </row>
    <row r="235" spans="1:8" x14ac:dyDescent="0.3">
      <c r="A235">
        <v>242</v>
      </c>
      <c r="B235" s="2">
        <v>46287</v>
      </c>
      <c r="C235" t="s">
        <v>45</v>
      </c>
      <c r="D235" t="s">
        <v>432</v>
      </c>
      <c r="E235" s="24">
        <v>2</v>
      </c>
      <c r="F235" s="25">
        <v>650</v>
      </c>
      <c r="G235" s="26" t="s">
        <v>5</v>
      </c>
      <c r="H235" t="s">
        <v>8</v>
      </c>
    </row>
    <row r="236" spans="1:8" x14ac:dyDescent="0.3">
      <c r="A236">
        <v>243</v>
      </c>
      <c r="B236" s="2">
        <v>46287</v>
      </c>
      <c r="C236" t="s">
        <v>138</v>
      </c>
      <c r="D236" t="s">
        <v>1</v>
      </c>
      <c r="E236" s="24">
        <v>2</v>
      </c>
      <c r="F236" s="25">
        <v>2230</v>
      </c>
      <c r="G236" s="26" t="s">
        <v>442</v>
      </c>
      <c r="H236">
        <v>36325</v>
      </c>
    </row>
    <row r="237" spans="1:8" x14ac:dyDescent="0.3">
      <c r="A237">
        <v>244</v>
      </c>
      <c r="B237" s="2">
        <v>46287</v>
      </c>
      <c r="C237" t="s">
        <v>237</v>
      </c>
      <c r="D237" t="s">
        <v>1</v>
      </c>
      <c r="E237" s="24">
        <v>2</v>
      </c>
      <c r="F237" s="25">
        <v>1600</v>
      </c>
      <c r="G237" s="26" t="s">
        <v>115</v>
      </c>
      <c r="H237" t="s">
        <v>326</v>
      </c>
    </row>
    <row r="238" spans="1:8" x14ac:dyDescent="0.3">
      <c r="A238">
        <v>245</v>
      </c>
      <c r="B238" s="2">
        <v>46287</v>
      </c>
      <c r="C238" t="s">
        <v>298</v>
      </c>
      <c r="D238" t="s">
        <v>1</v>
      </c>
      <c r="E238" s="24">
        <v>1</v>
      </c>
      <c r="F238" s="25">
        <v>1430</v>
      </c>
      <c r="G238" s="26" t="s">
        <v>441</v>
      </c>
      <c r="H238" t="s">
        <v>327</v>
      </c>
    </row>
    <row r="239" spans="1:8" x14ac:dyDescent="0.3">
      <c r="A239">
        <v>246</v>
      </c>
      <c r="B239" s="2">
        <v>46287</v>
      </c>
      <c r="C239" t="s">
        <v>287</v>
      </c>
      <c r="D239" t="s">
        <v>1</v>
      </c>
      <c r="E239" s="24">
        <v>2</v>
      </c>
      <c r="F239" s="25">
        <v>1600</v>
      </c>
      <c r="G239" s="26" t="s">
        <v>329</v>
      </c>
      <c r="H239" t="s">
        <v>328</v>
      </c>
    </row>
    <row r="240" spans="1:8" x14ac:dyDescent="0.3">
      <c r="A240">
        <v>247</v>
      </c>
      <c r="B240" s="2">
        <v>46287</v>
      </c>
      <c r="C240" t="s">
        <v>330</v>
      </c>
      <c r="D240" t="s">
        <v>432</v>
      </c>
      <c r="E240" s="24">
        <v>1</v>
      </c>
      <c r="F240" s="25">
        <v>650</v>
      </c>
      <c r="G240" s="26" t="s">
        <v>44</v>
      </c>
      <c r="H240" t="s">
        <v>8</v>
      </c>
    </row>
    <row r="241" spans="1:8" x14ac:dyDescent="0.3">
      <c r="A241">
        <v>248</v>
      </c>
      <c r="B241" s="2">
        <v>46288</v>
      </c>
      <c r="C241" t="s">
        <v>12</v>
      </c>
      <c r="D241" t="s">
        <v>432</v>
      </c>
      <c r="E241" s="24">
        <v>4</v>
      </c>
      <c r="F241" s="25">
        <v>2100</v>
      </c>
      <c r="G241" s="26" t="s">
        <v>42</v>
      </c>
      <c r="H241" t="s">
        <v>8</v>
      </c>
    </row>
    <row r="242" spans="1:8" x14ac:dyDescent="0.3">
      <c r="A242">
        <v>249</v>
      </c>
      <c r="B242" s="2">
        <v>46288</v>
      </c>
      <c r="C242" t="s">
        <v>311</v>
      </c>
      <c r="D242" t="s">
        <v>1</v>
      </c>
      <c r="E242" s="24">
        <v>2</v>
      </c>
      <c r="F242" s="25">
        <v>1750</v>
      </c>
      <c r="G242" s="26" t="s">
        <v>140</v>
      </c>
      <c r="H242" t="s">
        <v>331</v>
      </c>
    </row>
    <row r="243" spans="1:8" x14ac:dyDescent="0.3">
      <c r="A243">
        <v>250</v>
      </c>
      <c r="B243" s="2">
        <v>46288</v>
      </c>
      <c r="C243" t="s">
        <v>332</v>
      </c>
      <c r="D243" t="s">
        <v>1</v>
      </c>
      <c r="E243" s="24">
        <v>1</v>
      </c>
      <c r="F243" s="25">
        <v>800</v>
      </c>
      <c r="G243" s="26" t="s">
        <v>50</v>
      </c>
      <c r="H243" t="s">
        <v>333</v>
      </c>
    </row>
    <row r="244" spans="1:8" x14ac:dyDescent="0.3">
      <c r="A244">
        <v>251</v>
      </c>
      <c r="B244" s="2">
        <v>46288</v>
      </c>
      <c r="C244" t="s">
        <v>334</v>
      </c>
      <c r="D244" t="s">
        <v>6</v>
      </c>
      <c r="E244" s="24">
        <v>1</v>
      </c>
      <c r="F244" s="25">
        <v>800</v>
      </c>
      <c r="G244" s="26" t="s">
        <v>50</v>
      </c>
      <c r="H244">
        <v>1831148231</v>
      </c>
    </row>
    <row r="245" spans="1:8" x14ac:dyDescent="0.3">
      <c r="A245">
        <v>252</v>
      </c>
      <c r="B245" s="2">
        <v>46288</v>
      </c>
      <c r="C245" t="s">
        <v>63</v>
      </c>
      <c r="D245" t="s">
        <v>1</v>
      </c>
      <c r="E245" s="24">
        <v>1</v>
      </c>
      <c r="F245" s="25">
        <v>950</v>
      </c>
      <c r="G245" s="26" t="s">
        <v>5</v>
      </c>
      <c r="H245" t="s">
        <v>335</v>
      </c>
    </row>
    <row r="246" spans="1:8" x14ac:dyDescent="0.3">
      <c r="A246">
        <v>253</v>
      </c>
      <c r="B246" s="2">
        <v>46288</v>
      </c>
      <c r="C246" t="s">
        <v>225</v>
      </c>
      <c r="D246" t="s">
        <v>432</v>
      </c>
      <c r="E246" s="24">
        <v>7</v>
      </c>
      <c r="F246" s="25">
        <v>4250</v>
      </c>
      <c r="H246" t="s">
        <v>8</v>
      </c>
    </row>
    <row r="247" spans="1:8" ht="28.8" x14ac:dyDescent="0.3">
      <c r="A247">
        <v>254</v>
      </c>
      <c r="B247" s="2">
        <v>46288</v>
      </c>
      <c r="C247" t="s">
        <v>225</v>
      </c>
      <c r="D247" t="s">
        <v>432</v>
      </c>
      <c r="E247" s="24">
        <v>0</v>
      </c>
      <c r="F247" s="25">
        <v>1920</v>
      </c>
      <c r="G247" s="26" t="s">
        <v>337</v>
      </c>
      <c r="H247" t="s">
        <v>8</v>
      </c>
    </row>
    <row r="248" spans="1:8" x14ac:dyDescent="0.3">
      <c r="A248">
        <v>255</v>
      </c>
      <c r="B248" s="2">
        <v>46288</v>
      </c>
      <c r="C248" t="s">
        <v>261</v>
      </c>
      <c r="D248" t="s">
        <v>1</v>
      </c>
      <c r="E248" s="24">
        <v>1</v>
      </c>
      <c r="F248" s="25">
        <v>950</v>
      </c>
      <c r="G248" s="26" t="s">
        <v>44</v>
      </c>
      <c r="H248" t="s">
        <v>338</v>
      </c>
    </row>
    <row r="249" spans="1:8" x14ac:dyDescent="0.3">
      <c r="A249">
        <v>256</v>
      </c>
      <c r="B249" s="2">
        <v>46288</v>
      </c>
      <c r="C249" t="s">
        <v>339</v>
      </c>
      <c r="D249" t="s">
        <v>6</v>
      </c>
      <c r="E249" s="24">
        <v>1</v>
      </c>
      <c r="F249" s="25">
        <v>1430</v>
      </c>
      <c r="G249" s="26" t="s">
        <v>434</v>
      </c>
      <c r="H249">
        <v>18315695</v>
      </c>
    </row>
    <row r="250" spans="1:8" x14ac:dyDescent="0.3">
      <c r="A250">
        <v>257</v>
      </c>
      <c r="B250" s="2">
        <v>46288</v>
      </c>
      <c r="C250" t="s">
        <v>300</v>
      </c>
      <c r="D250" t="s">
        <v>432</v>
      </c>
      <c r="E250" s="24">
        <v>1</v>
      </c>
      <c r="F250" s="25">
        <v>1200</v>
      </c>
      <c r="G250" s="26" t="s">
        <v>443</v>
      </c>
      <c r="H250" t="s">
        <v>8</v>
      </c>
    </row>
    <row r="251" spans="1:8" x14ac:dyDescent="0.3">
      <c r="A251">
        <v>258</v>
      </c>
      <c r="B251" s="2">
        <v>46288</v>
      </c>
      <c r="C251" t="s">
        <v>76</v>
      </c>
      <c r="D251" t="s">
        <v>1</v>
      </c>
      <c r="E251" s="24">
        <v>1</v>
      </c>
      <c r="F251" s="25">
        <v>1430</v>
      </c>
      <c r="G251" s="26" t="s">
        <v>434</v>
      </c>
      <c r="H251" t="s">
        <v>341</v>
      </c>
    </row>
    <row r="252" spans="1:8" x14ac:dyDescent="0.3">
      <c r="A252">
        <v>259</v>
      </c>
      <c r="B252" s="2">
        <v>46288</v>
      </c>
      <c r="C252" t="s">
        <v>298</v>
      </c>
      <c r="D252" t="s">
        <v>1</v>
      </c>
      <c r="E252" s="24">
        <v>1</v>
      </c>
      <c r="F252" s="25">
        <v>950</v>
      </c>
      <c r="G252" s="26" t="s">
        <v>444</v>
      </c>
      <c r="H252" t="s">
        <v>342</v>
      </c>
    </row>
    <row r="253" spans="1:8" x14ac:dyDescent="0.3">
      <c r="A253">
        <v>260</v>
      </c>
      <c r="B253" s="2">
        <v>46288</v>
      </c>
      <c r="C253" t="s">
        <v>161</v>
      </c>
      <c r="D253" t="s">
        <v>432</v>
      </c>
      <c r="E253" s="24">
        <v>1</v>
      </c>
      <c r="F253" s="25">
        <v>650</v>
      </c>
      <c r="G253" s="26" t="s">
        <v>5</v>
      </c>
      <c r="H253" t="s">
        <v>8</v>
      </c>
    </row>
    <row r="254" spans="1:8" x14ac:dyDescent="0.3">
      <c r="A254">
        <v>261</v>
      </c>
      <c r="B254" s="2">
        <v>46288</v>
      </c>
      <c r="C254" t="s">
        <v>143</v>
      </c>
      <c r="D254" t="s">
        <v>1</v>
      </c>
      <c r="E254" s="24">
        <v>1</v>
      </c>
      <c r="F254" s="25">
        <v>950</v>
      </c>
      <c r="G254" s="26" t="s">
        <v>44</v>
      </c>
      <c r="H254" t="s">
        <v>344</v>
      </c>
    </row>
    <row r="255" spans="1:8" x14ac:dyDescent="0.3">
      <c r="A255">
        <v>262</v>
      </c>
      <c r="B255" s="2">
        <v>46288</v>
      </c>
      <c r="C255" t="s">
        <v>138</v>
      </c>
      <c r="D255" t="s">
        <v>1</v>
      </c>
      <c r="E255" s="24">
        <v>2</v>
      </c>
      <c r="F255" s="25">
        <v>1750</v>
      </c>
      <c r="G255" s="26" t="s">
        <v>62</v>
      </c>
      <c r="H255" t="s">
        <v>345</v>
      </c>
    </row>
    <row r="256" spans="1:8" x14ac:dyDescent="0.3">
      <c r="A256">
        <v>263</v>
      </c>
      <c r="B256" s="2">
        <v>46288</v>
      </c>
      <c r="C256" t="s">
        <v>346</v>
      </c>
      <c r="D256" t="s">
        <v>432</v>
      </c>
      <c r="E256" s="24">
        <v>1</v>
      </c>
      <c r="F256" s="25">
        <v>650</v>
      </c>
      <c r="G256" s="26" t="s">
        <v>44</v>
      </c>
      <c r="H256" t="s">
        <v>8</v>
      </c>
    </row>
    <row r="257" spans="1:8" x14ac:dyDescent="0.3">
      <c r="A257">
        <v>264</v>
      </c>
      <c r="B257" s="2">
        <v>46288</v>
      </c>
      <c r="C257" t="s">
        <v>347</v>
      </c>
      <c r="D257" t="s">
        <v>6</v>
      </c>
      <c r="E257" s="24">
        <v>2</v>
      </c>
      <c r="F257" s="25">
        <v>1750</v>
      </c>
      <c r="G257" s="26" t="s">
        <v>147</v>
      </c>
      <c r="H257">
        <v>183161048</v>
      </c>
    </row>
    <row r="258" spans="1:8" x14ac:dyDescent="0.3">
      <c r="A258">
        <v>265</v>
      </c>
      <c r="B258" s="2">
        <v>46288</v>
      </c>
      <c r="C258" t="s">
        <v>66</v>
      </c>
      <c r="D258" t="s">
        <v>432</v>
      </c>
      <c r="E258" s="24">
        <v>1</v>
      </c>
      <c r="F258" s="25">
        <v>550</v>
      </c>
      <c r="G258" s="26" t="s">
        <v>50</v>
      </c>
      <c r="H258" t="s">
        <v>8</v>
      </c>
    </row>
    <row r="259" spans="1:8" x14ac:dyDescent="0.3">
      <c r="A259">
        <v>266</v>
      </c>
      <c r="B259" s="2">
        <v>46288</v>
      </c>
      <c r="C259" t="s">
        <v>348</v>
      </c>
      <c r="D259" t="s">
        <v>432</v>
      </c>
      <c r="E259" s="24">
        <v>1</v>
      </c>
      <c r="F259" s="25">
        <v>550</v>
      </c>
      <c r="G259" s="26" t="s">
        <v>44</v>
      </c>
      <c r="H259" t="s">
        <v>8</v>
      </c>
    </row>
    <row r="260" spans="1:8" x14ac:dyDescent="0.3">
      <c r="A260">
        <v>267</v>
      </c>
      <c r="B260" s="2">
        <v>46289</v>
      </c>
      <c r="C260" t="s">
        <v>12</v>
      </c>
      <c r="D260" t="s">
        <v>432</v>
      </c>
      <c r="E260" s="24">
        <v>4</v>
      </c>
      <c r="F260" s="25">
        <v>2100</v>
      </c>
      <c r="G260" s="26" t="s">
        <v>42</v>
      </c>
      <c r="H260" t="s">
        <v>8</v>
      </c>
    </row>
    <row r="261" spans="1:8" x14ac:dyDescent="0.3">
      <c r="A261">
        <v>268</v>
      </c>
      <c r="B261" s="2">
        <v>46289</v>
      </c>
      <c r="C261" t="s">
        <v>225</v>
      </c>
      <c r="D261" t="s">
        <v>432</v>
      </c>
      <c r="E261" s="24">
        <v>7</v>
      </c>
      <c r="F261" s="25">
        <v>3700</v>
      </c>
      <c r="G261" s="26" t="s">
        <v>350</v>
      </c>
      <c r="H261" t="s">
        <v>8</v>
      </c>
    </row>
    <row r="262" spans="1:8" x14ac:dyDescent="0.3">
      <c r="A262">
        <v>269</v>
      </c>
      <c r="B262" s="2">
        <v>46289</v>
      </c>
      <c r="C262" t="s">
        <v>161</v>
      </c>
      <c r="D262" t="s">
        <v>432</v>
      </c>
      <c r="E262" s="24">
        <v>1</v>
      </c>
      <c r="F262" s="25">
        <v>650</v>
      </c>
      <c r="G262" s="26" t="s">
        <v>5</v>
      </c>
      <c r="H262" t="s">
        <v>8</v>
      </c>
    </row>
    <row r="263" spans="1:8" x14ac:dyDescent="0.3">
      <c r="A263">
        <v>270</v>
      </c>
      <c r="B263" s="2">
        <v>46289</v>
      </c>
      <c r="C263" t="s">
        <v>36</v>
      </c>
      <c r="D263" t="s">
        <v>1</v>
      </c>
      <c r="E263" s="24">
        <v>2</v>
      </c>
      <c r="F263" s="25">
        <v>1600</v>
      </c>
      <c r="G263" s="26" t="s">
        <v>115</v>
      </c>
      <c r="H263" t="s">
        <v>351</v>
      </c>
    </row>
    <row r="264" spans="1:8" x14ac:dyDescent="0.3">
      <c r="A264">
        <v>271</v>
      </c>
      <c r="B264" s="2">
        <v>46289</v>
      </c>
      <c r="C264" t="s">
        <v>311</v>
      </c>
      <c r="D264" t="s">
        <v>1</v>
      </c>
      <c r="E264" s="24">
        <v>2</v>
      </c>
      <c r="F264" s="25">
        <v>1750</v>
      </c>
      <c r="G264" s="26" t="s">
        <v>94</v>
      </c>
      <c r="H264" t="s">
        <v>352</v>
      </c>
    </row>
    <row r="265" spans="1:8" x14ac:dyDescent="0.3">
      <c r="A265">
        <v>272</v>
      </c>
      <c r="B265" s="2">
        <v>46289</v>
      </c>
      <c r="C265" t="s">
        <v>353</v>
      </c>
      <c r="D265" t="s">
        <v>1</v>
      </c>
      <c r="E265" s="24">
        <v>2</v>
      </c>
      <c r="F265" s="25">
        <v>1750</v>
      </c>
      <c r="G265" s="26" t="s">
        <v>34</v>
      </c>
      <c r="H265" t="s">
        <v>354</v>
      </c>
    </row>
    <row r="266" spans="1:8" x14ac:dyDescent="0.3">
      <c r="A266">
        <v>273</v>
      </c>
      <c r="B266" s="2">
        <v>46289</v>
      </c>
      <c r="C266" t="s">
        <v>104</v>
      </c>
      <c r="D266" t="s">
        <v>1</v>
      </c>
      <c r="E266" s="24">
        <v>1</v>
      </c>
      <c r="F266" s="25">
        <v>1760</v>
      </c>
      <c r="G266" s="26" t="s">
        <v>445</v>
      </c>
      <c r="H266" t="s">
        <v>355</v>
      </c>
    </row>
    <row r="267" spans="1:8" x14ac:dyDescent="0.3">
      <c r="A267">
        <v>274</v>
      </c>
      <c r="B267" s="2">
        <v>46289</v>
      </c>
      <c r="C267" t="s">
        <v>358</v>
      </c>
      <c r="D267" t="s">
        <v>432</v>
      </c>
      <c r="E267" s="24">
        <v>1</v>
      </c>
      <c r="F267" s="25">
        <v>1130</v>
      </c>
      <c r="G267" s="26" t="s">
        <v>443</v>
      </c>
      <c r="H267" t="s">
        <v>8</v>
      </c>
    </row>
    <row r="268" spans="1:8" x14ac:dyDescent="0.3">
      <c r="A268">
        <v>275</v>
      </c>
      <c r="B268" s="2">
        <v>46289</v>
      </c>
      <c r="C268" t="s">
        <v>162</v>
      </c>
      <c r="D268" t="s">
        <v>6</v>
      </c>
      <c r="E268" s="24">
        <v>1</v>
      </c>
      <c r="F268" s="25">
        <v>950</v>
      </c>
      <c r="G268" s="26" t="s">
        <v>44</v>
      </c>
      <c r="H268">
        <v>183189636</v>
      </c>
    </row>
    <row r="269" spans="1:8" x14ac:dyDescent="0.3">
      <c r="A269">
        <v>276</v>
      </c>
      <c r="B269" s="2">
        <v>46289</v>
      </c>
      <c r="C269" t="s">
        <v>30</v>
      </c>
      <c r="D269" t="s">
        <v>1</v>
      </c>
      <c r="E269" s="24">
        <v>1</v>
      </c>
      <c r="F269" s="25">
        <v>950</v>
      </c>
      <c r="G269" s="26" t="s">
        <v>44</v>
      </c>
      <c r="H269" t="s">
        <v>359</v>
      </c>
    </row>
    <row r="270" spans="1:8" x14ac:dyDescent="0.3">
      <c r="A270">
        <v>277</v>
      </c>
      <c r="B270" s="2">
        <v>46289</v>
      </c>
      <c r="C270" t="s">
        <v>30</v>
      </c>
      <c r="D270" t="s">
        <v>1</v>
      </c>
      <c r="E270" s="24">
        <v>1</v>
      </c>
      <c r="F270" s="25">
        <v>950</v>
      </c>
      <c r="G270" s="26" t="s">
        <v>44</v>
      </c>
      <c r="H270" t="s">
        <v>360</v>
      </c>
    </row>
    <row r="271" spans="1:8" x14ac:dyDescent="0.3">
      <c r="A271">
        <v>278</v>
      </c>
      <c r="B271" s="2">
        <v>46289</v>
      </c>
      <c r="C271" t="s">
        <v>358</v>
      </c>
      <c r="D271" t="s">
        <v>432</v>
      </c>
      <c r="E271" s="24">
        <v>1</v>
      </c>
      <c r="F271" s="25">
        <v>650</v>
      </c>
      <c r="G271" s="26" t="s">
        <v>5</v>
      </c>
      <c r="H271" t="s">
        <v>8</v>
      </c>
    </row>
    <row r="272" spans="1:8" x14ac:dyDescent="0.3">
      <c r="A272">
        <v>279</v>
      </c>
      <c r="B272" s="2">
        <v>46289</v>
      </c>
      <c r="C272" t="s">
        <v>300</v>
      </c>
      <c r="D272" t="s">
        <v>432</v>
      </c>
      <c r="E272" s="24">
        <v>1</v>
      </c>
      <c r="F272" s="25">
        <v>1130</v>
      </c>
      <c r="G272" s="26" t="s">
        <v>434</v>
      </c>
      <c r="H272" t="s">
        <v>8</v>
      </c>
    </row>
    <row r="273" spans="1:8" x14ac:dyDescent="0.3">
      <c r="A273">
        <v>280</v>
      </c>
      <c r="B273" s="2">
        <v>46289</v>
      </c>
      <c r="C273" t="s">
        <v>45</v>
      </c>
      <c r="D273" t="s">
        <v>432</v>
      </c>
      <c r="E273" s="24">
        <v>1</v>
      </c>
      <c r="F273" s="25">
        <v>650</v>
      </c>
      <c r="G273" s="26" t="s">
        <v>44</v>
      </c>
      <c r="H273" t="s">
        <v>8</v>
      </c>
    </row>
    <row r="274" spans="1:8" x14ac:dyDescent="0.3">
      <c r="A274">
        <v>281</v>
      </c>
      <c r="B274" s="2">
        <v>46289</v>
      </c>
      <c r="C274" t="s">
        <v>45</v>
      </c>
      <c r="D274" t="s">
        <v>432</v>
      </c>
      <c r="E274" s="24">
        <v>2</v>
      </c>
      <c r="F274" s="25">
        <v>1100</v>
      </c>
      <c r="G274" s="26" t="s">
        <v>329</v>
      </c>
      <c r="H274" t="s">
        <v>8</v>
      </c>
    </row>
    <row r="275" spans="1:8" x14ac:dyDescent="0.3">
      <c r="A275">
        <v>282</v>
      </c>
      <c r="B275" s="2">
        <v>46289</v>
      </c>
      <c r="C275" t="s">
        <v>138</v>
      </c>
      <c r="D275" t="s">
        <v>1</v>
      </c>
      <c r="E275" s="24">
        <v>2</v>
      </c>
      <c r="F275" s="25">
        <v>1750</v>
      </c>
      <c r="G275" s="26" t="s">
        <v>140</v>
      </c>
      <c r="H275" t="s">
        <v>361</v>
      </c>
    </row>
    <row r="276" spans="1:8" x14ac:dyDescent="0.3">
      <c r="A276">
        <v>283</v>
      </c>
      <c r="B276" s="2">
        <v>46289</v>
      </c>
      <c r="C276" t="s">
        <v>45</v>
      </c>
      <c r="D276" t="s">
        <v>432</v>
      </c>
      <c r="E276" s="24">
        <v>2</v>
      </c>
      <c r="F276" s="25">
        <v>1200</v>
      </c>
      <c r="G276" s="26" t="s">
        <v>5</v>
      </c>
      <c r="H276" t="s">
        <v>8</v>
      </c>
    </row>
    <row r="277" spans="1:8" x14ac:dyDescent="0.3">
      <c r="A277">
        <v>284</v>
      </c>
      <c r="B277" s="2">
        <v>46289</v>
      </c>
      <c r="C277" t="s">
        <v>273</v>
      </c>
      <c r="D277" t="s">
        <v>432</v>
      </c>
      <c r="E277" s="24">
        <v>1</v>
      </c>
      <c r="F277" s="25">
        <v>550</v>
      </c>
      <c r="H277" t="s">
        <v>8</v>
      </c>
    </row>
    <row r="278" spans="1:8" x14ac:dyDescent="0.3">
      <c r="A278">
        <v>285</v>
      </c>
      <c r="B278" s="2">
        <v>46289</v>
      </c>
      <c r="C278" t="s">
        <v>362</v>
      </c>
      <c r="D278" t="s">
        <v>1</v>
      </c>
      <c r="E278" s="24">
        <v>1</v>
      </c>
      <c r="F278" s="25">
        <v>950</v>
      </c>
      <c r="G278" s="26" t="s">
        <v>5</v>
      </c>
      <c r="H278" t="s">
        <v>363</v>
      </c>
    </row>
    <row r="279" spans="1:8" x14ac:dyDescent="0.3">
      <c r="A279">
        <v>286</v>
      </c>
      <c r="B279" s="2">
        <v>46289</v>
      </c>
      <c r="C279" t="s">
        <v>364</v>
      </c>
      <c r="D279" t="s">
        <v>1</v>
      </c>
      <c r="E279" s="24">
        <v>1</v>
      </c>
      <c r="F279" s="25">
        <v>950</v>
      </c>
      <c r="G279" s="26" t="s">
        <v>5</v>
      </c>
      <c r="H279" t="s">
        <v>365</v>
      </c>
    </row>
    <row r="280" spans="1:8" ht="28.8" x14ac:dyDescent="0.3">
      <c r="A280">
        <v>287</v>
      </c>
      <c r="B280" s="2">
        <v>46290</v>
      </c>
      <c r="C280" t="s">
        <v>12</v>
      </c>
      <c r="D280" t="s">
        <v>432</v>
      </c>
      <c r="E280" s="24">
        <v>8</v>
      </c>
      <c r="F280" s="25">
        <v>4200</v>
      </c>
      <c r="G280" s="26" t="s">
        <v>446</v>
      </c>
      <c r="H280" t="s">
        <v>8</v>
      </c>
    </row>
    <row r="281" spans="1:8" x14ac:dyDescent="0.3">
      <c r="A281">
        <v>288</v>
      </c>
      <c r="B281" s="2">
        <v>46290</v>
      </c>
      <c r="C281" t="s">
        <v>346</v>
      </c>
      <c r="D281" t="s">
        <v>432</v>
      </c>
      <c r="E281" s="24">
        <v>1</v>
      </c>
      <c r="F281" s="25">
        <v>650</v>
      </c>
      <c r="G281" s="26" t="s">
        <v>5</v>
      </c>
      <c r="H281" t="s">
        <v>8</v>
      </c>
    </row>
    <row r="282" spans="1:8" x14ac:dyDescent="0.3">
      <c r="A282">
        <v>289</v>
      </c>
      <c r="B282" s="2">
        <v>46290</v>
      </c>
      <c r="C282" t="s">
        <v>311</v>
      </c>
      <c r="D282" t="s">
        <v>1</v>
      </c>
      <c r="E282" s="24">
        <v>2</v>
      </c>
      <c r="F282" s="25">
        <v>1600</v>
      </c>
      <c r="G282" s="26" t="s">
        <v>296</v>
      </c>
      <c r="H282" t="s">
        <v>367</v>
      </c>
    </row>
    <row r="283" spans="1:8" x14ac:dyDescent="0.3">
      <c r="A283">
        <v>290</v>
      </c>
      <c r="B283" s="2">
        <v>46290</v>
      </c>
      <c r="C283" t="s">
        <v>149</v>
      </c>
      <c r="D283" t="s">
        <v>432</v>
      </c>
      <c r="E283" s="24">
        <v>2</v>
      </c>
      <c r="F283" s="25">
        <v>1300</v>
      </c>
      <c r="G283" s="26" t="s">
        <v>193</v>
      </c>
      <c r="H283" t="s">
        <v>8</v>
      </c>
    </row>
    <row r="284" spans="1:8" x14ac:dyDescent="0.3">
      <c r="A284">
        <v>291</v>
      </c>
      <c r="B284" s="2">
        <v>46290</v>
      </c>
      <c r="C284" t="s">
        <v>368</v>
      </c>
      <c r="D284" t="s">
        <v>6</v>
      </c>
      <c r="E284" s="24">
        <v>1</v>
      </c>
      <c r="F284" s="25">
        <v>950</v>
      </c>
      <c r="G284" s="26" t="s">
        <v>44</v>
      </c>
      <c r="H284">
        <v>183217806</v>
      </c>
    </row>
    <row r="285" spans="1:8" x14ac:dyDescent="0.3">
      <c r="A285">
        <v>292</v>
      </c>
      <c r="B285" s="2">
        <v>46290</v>
      </c>
      <c r="C285" t="s">
        <v>369</v>
      </c>
      <c r="D285" t="s">
        <v>6</v>
      </c>
      <c r="E285" s="24">
        <v>1</v>
      </c>
      <c r="F285" s="25">
        <v>950</v>
      </c>
      <c r="G285" s="26" t="s">
        <v>44</v>
      </c>
      <c r="H285">
        <v>183220059</v>
      </c>
    </row>
    <row r="286" spans="1:8" x14ac:dyDescent="0.3">
      <c r="A286">
        <v>293</v>
      </c>
      <c r="B286" s="2">
        <v>46290</v>
      </c>
      <c r="C286" t="s">
        <v>45</v>
      </c>
      <c r="D286" t="s">
        <v>432</v>
      </c>
      <c r="E286" s="24">
        <v>2</v>
      </c>
      <c r="F286" s="25">
        <v>1300</v>
      </c>
      <c r="G286" s="26" t="s">
        <v>370</v>
      </c>
      <c r="H286" t="s">
        <v>8</v>
      </c>
    </row>
    <row r="287" spans="1:8" x14ac:dyDescent="0.3">
      <c r="A287">
        <v>294</v>
      </c>
      <c r="B287" s="2">
        <v>46290</v>
      </c>
      <c r="C287" t="s">
        <v>358</v>
      </c>
      <c r="D287" t="s">
        <v>432</v>
      </c>
      <c r="E287" s="24">
        <v>1</v>
      </c>
      <c r="F287" s="25">
        <v>1610</v>
      </c>
      <c r="G287" s="26" t="s">
        <v>447</v>
      </c>
      <c r="H287" t="s">
        <v>8</v>
      </c>
    </row>
    <row r="288" spans="1:8" x14ac:dyDescent="0.3">
      <c r="A288">
        <v>295</v>
      </c>
      <c r="B288" s="2">
        <v>46290</v>
      </c>
      <c r="C288" t="s">
        <v>298</v>
      </c>
      <c r="D288" t="s">
        <v>1</v>
      </c>
      <c r="E288" s="24">
        <v>1</v>
      </c>
      <c r="F288" s="25">
        <v>950</v>
      </c>
      <c r="G288" s="26" t="s">
        <v>5</v>
      </c>
      <c r="H288" t="s">
        <v>373</v>
      </c>
    </row>
    <row r="289" spans="1:8" x14ac:dyDescent="0.3">
      <c r="A289">
        <v>296</v>
      </c>
      <c r="B289" s="2">
        <v>46290</v>
      </c>
      <c r="C289" t="s">
        <v>362</v>
      </c>
      <c r="D289" t="s">
        <v>1</v>
      </c>
      <c r="E289" s="24">
        <v>1</v>
      </c>
      <c r="F289" s="25">
        <v>950</v>
      </c>
      <c r="G289" s="26" t="s">
        <v>5</v>
      </c>
      <c r="H289" t="s">
        <v>374</v>
      </c>
    </row>
    <row r="290" spans="1:8" x14ac:dyDescent="0.3">
      <c r="A290">
        <v>297</v>
      </c>
      <c r="B290" s="2">
        <v>46290</v>
      </c>
      <c r="C290" t="s">
        <v>243</v>
      </c>
      <c r="D290" t="s">
        <v>1</v>
      </c>
      <c r="E290" s="24">
        <v>1</v>
      </c>
      <c r="F290" s="25">
        <v>950</v>
      </c>
      <c r="G290" s="26" t="s">
        <v>44</v>
      </c>
      <c r="H290" t="s">
        <v>375</v>
      </c>
    </row>
    <row r="291" spans="1:8" x14ac:dyDescent="0.3">
      <c r="A291">
        <v>298</v>
      </c>
      <c r="B291" s="2">
        <v>46290</v>
      </c>
      <c r="C291" t="s">
        <v>376</v>
      </c>
      <c r="D291" t="s">
        <v>6</v>
      </c>
      <c r="E291" s="24">
        <v>1</v>
      </c>
      <c r="F291" s="25">
        <v>950</v>
      </c>
      <c r="G291" s="26" t="s">
        <v>5</v>
      </c>
      <c r="H291">
        <v>183224518</v>
      </c>
    </row>
    <row r="292" spans="1:8" x14ac:dyDescent="0.3">
      <c r="A292">
        <v>299</v>
      </c>
      <c r="B292" s="2">
        <v>46290</v>
      </c>
      <c r="C292" t="s">
        <v>266</v>
      </c>
      <c r="D292" t="s">
        <v>6</v>
      </c>
      <c r="E292" s="24">
        <v>1</v>
      </c>
      <c r="F292" s="25">
        <v>1430</v>
      </c>
      <c r="G292" s="26" t="s">
        <v>440</v>
      </c>
      <c r="H292">
        <v>183224800</v>
      </c>
    </row>
    <row r="293" spans="1:8" x14ac:dyDescent="0.3">
      <c r="A293">
        <v>300</v>
      </c>
      <c r="B293" s="2">
        <v>46290</v>
      </c>
      <c r="C293" t="s">
        <v>378</v>
      </c>
      <c r="D293" t="s">
        <v>6</v>
      </c>
      <c r="E293" s="24">
        <v>0</v>
      </c>
      <c r="F293" s="25">
        <v>480</v>
      </c>
      <c r="G293" s="26" t="s">
        <v>379</v>
      </c>
      <c r="H293">
        <v>183226202</v>
      </c>
    </row>
    <row r="294" spans="1:8" x14ac:dyDescent="0.3">
      <c r="A294">
        <v>301</v>
      </c>
      <c r="B294" s="2">
        <v>46290</v>
      </c>
      <c r="C294" t="s">
        <v>300</v>
      </c>
      <c r="D294" t="s">
        <v>432</v>
      </c>
      <c r="E294" s="24">
        <v>1</v>
      </c>
      <c r="F294" s="25">
        <v>1130</v>
      </c>
      <c r="G294" s="26" t="s">
        <v>434</v>
      </c>
      <c r="H294" t="s">
        <v>8</v>
      </c>
    </row>
    <row r="295" spans="1:8" x14ac:dyDescent="0.3">
      <c r="A295">
        <v>302</v>
      </c>
      <c r="B295" s="2">
        <v>46290</v>
      </c>
      <c r="C295" t="s">
        <v>380</v>
      </c>
      <c r="D295" t="s">
        <v>1</v>
      </c>
      <c r="E295" s="24">
        <v>2</v>
      </c>
      <c r="F295" s="25">
        <v>1750</v>
      </c>
      <c r="G295" s="26" t="s">
        <v>34</v>
      </c>
      <c r="H295" t="s">
        <v>381</v>
      </c>
    </row>
    <row r="296" spans="1:8" x14ac:dyDescent="0.3">
      <c r="A296">
        <v>303</v>
      </c>
      <c r="B296" s="2">
        <v>46290</v>
      </c>
      <c r="C296" t="s">
        <v>382</v>
      </c>
      <c r="D296" t="s">
        <v>432</v>
      </c>
      <c r="E296" s="24">
        <v>2</v>
      </c>
      <c r="F296" s="25">
        <v>1300</v>
      </c>
      <c r="G296" s="26" t="s">
        <v>383</v>
      </c>
      <c r="H296" t="s">
        <v>8</v>
      </c>
    </row>
    <row r="297" spans="1:8" x14ac:dyDescent="0.3">
      <c r="A297">
        <v>304</v>
      </c>
      <c r="B297" s="2">
        <v>46290</v>
      </c>
      <c r="C297" t="s">
        <v>384</v>
      </c>
      <c r="D297" t="s">
        <v>432</v>
      </c>
      <c r="E297" s="24">
        <v>0</v>
      </c>
      <c r="F297" s="25">
        <v>480</v>
      </c>
      <c r="G297" s="26" t="s">
        <v>275</v>
      </c>
      <c r="H297" t="s">
        <v>8</v>
      </c>
    </row>
    <row r="298" spans="1:8" x14ac:dyDescent="0.3">
      <c r="A298">
        <v>305</v>
      </c>
      <c r="B298" s="2">
        <v>46290</v>
      </c>
      <c r="C298" t="s">
        <v>66</v>
      </c>
      <c r="D298" t="s">
        <v>432</v>
      </c>
      <c r="E298" s="24">
        <v>1</v>
      </c>
      <c r="F298" s="25">
        <v>650</v>
      </c>
      <c r="G298" s="26" t="s">
        <v>5</v>
      </c>
      <c r="H298" t="s">
        <v>8</v>
      </c>
    </row>
    <row r="299" spans="1:8" x14ac:dyDescent="0.3">
      <c r="A299">
        <v>306</v>
      </c>
      <c r="B299" s="2">
        <v>46290</v>
      </c>
      <c r="C299" t="s">
        <v>30</v>
      </c>
      <c r="D299" t="s">
        <v>1</v>
      </c>
      <c r="E299" s="24">
        <v>1</v>
      </c>
      <c r="F299" s="25">
        <v>950</v>
      </c>
      <c r="G299" s="26" t="s">
        <v>5</v>
      </c>
      <c r="H299" t="s">
        <v>385</v>
      </c>
    </row>
    <row r="300" spans="1:8" x14ac:dyDescent="0.3">
      <c r="A300">
        <v>307</v>
      </c>
      <c r="B300" s="2">
        <v>46290</v>
      </c>
      <c r="C300" t="s">
        <v>138</v>
      </c>
      <c r="D300" t="s">
        <v>1</v>
      </c>
      <c r="E300" s="24">
        <v>2</v>
      </c>
      <c r="F300" s="25">
        <v>1750</v>
      </c>
      <c r="G300" s="26" t="s">
        <v>293</v>
      </c>
      <c r="H300" t="s">
        <v>386</v>
      </c>
    </row>
    <row r="301" spans="1:8" x14ac:dyDescent="0.3">
      <c r="A301">
        <v>308</v>
      </c>
      <c r="B301" s="2">
        <v>46290</v>
      </c>
      <c r="C301" t="s">
        <v>161</v>
      </c>
      <c r="D301" t="s">
        <v>432</v>
      </c>
      <c r="E301" s="24">
        <v>1</v>
      </c>
      <c r="F301" s="25">
        <v>650</v>
      </c>
      <c r="G301" s="26" t="s">
        <v>5</v>
      </c>
      <c r="H301" t="s">
        <v>8</v>
      </c>
    </row>
    <row r="302" spans="1:8" x14ac:dyDescent="0.3">
      <c r="A302">
        <v>309</v>
      </c>
      <c r="B302" s="2">
        <v>46290</v>
      </c>
      <c r="C302" t="s">
        <v>45</v>
      </c>
      <c r="D302" t="s">
        <v>432</v>
      </c>
      <c r="E302" s="24">
        <v>1</v>
      </c>
      <c r="F302" s="25">
        <v>650</v>
      </c>
      <c r="G302" s="26" t="s">
        <v>5</v>
      </c>
      <c r="H302" t="s">
        <v>8</v>
      </c>
    </row>
    <row r="303" spans="1:8" x14ac:dyDescent="0.3">
      <c r="A303">
        <v>312</v>
      </c>
      <c r="B303" s="2">
        <v>46293</v>
      </c>
      <c r="C303" t="s">
        <v>12</v>
      </c>
      <c r="D303" t="s">
        <v>432</v>
      </c>
      <c r="E303" s="24">
        <v>4</v>
      </c>
      <c r="F303" s="25">
        <v>2100</v>
      </c>
      <c r="G303" s="26" t="s">
        <v>42</v>
      </c>
      <c r="H303" t="s">
        <v>8</v>
      </c>
    </row>
    <row r="304" spans="1:8" x14ac:dyDescent="0.3">
      <c r="A304">
        <v>313</v>
      </c>
      <c r="B304" s="2">
        <v>46293</v>
      </c>
      <c r="C304" t="s">
        <v>182</v>
      </c>
      <c r="D304" t="s">
        <v>1</v>
      </c>
      <c r="E304" s="24">
        <v>1</v>
      </c>
      <c r="F304" s="25">
        <v>950</v>
      </c>
      <c r="G304" s="26" t="s">
        <v>44</v>
      </c>
      <c r="H304" t="s">
        <v>388</v>
      </c>
    </row>
    <row r="305" spans="1:8" x14ac:dyDescent="0.3">
      <c r="A305">
        <v>314</v>
      </c>
      <c r="B305" s="2">
        <v>46293</v>
      </c>
      <c r="C305" t="s">
        <v>138</v>
      </c>
      <c r="D305" t="s">
        <v>1</v>
      </c>
      <c r="E305" s="24">
        <v>2</v>
      </c>
      <c r="F305" s="25">
        <v>1750</v>
      </c>
      <c r="G305" s="26" t="s">
        <v>140</v>
      </c>
      <c r="H305" t="s">
        <v>389</v>
      </c>
    </row>
    <row r="306" spans="1:8" x14ac:dyDescent="0.3">
      <c r="A306">
        <v>315</v>
      </c>
      <c r="B306" s="2">
        <v>46293</v>
      </c>
      <c r="C306" t="s">
        <v>390</v>
      </c>
      <c r="D306" t="s">
        <v>1</v>
      </c>
      <c r="E306" s="24">
        <v>1</v>
      </c>
      <c r="F306" s="25">
        <v>800</v>
      </c>
      <c r="G306" s="26" t="s">
        <v>50</v>
      </c>
      <c r="H306" t="s">
        <v>391</v>
      </c>
    </row>
    <row r="307" spans="1:8" x14ac:dyDescent="0.3">
      <c r="A307">
        <v>316</v>
      </c>
      <c r="B307" s="2">
        <v>46293</v>
      </c>
      <c r="C307" t="s">
        <v>45</v>
      </c>
      <c r="D307" t="s">
        <v>432</v>
      </c>
      <c r="E307" s="24">
        <v>1</v>
      </c>
      <c r="F307" s="25">
        <v>650</v>
      </c>
      <c r="G307" s="26" t="s">
        <v>5</v>
      </c>
      <c r="H307" t="s">
        <v>8</v>
      </c>
    </row>
    <row r="308" spans="1:8" x14ac:dyDescent="0.3">
      <c r="A308">
        <v>317</v>
      </c>
      <c r="B308" s="2">
        <v>46293</v>
      </c>
      <c r="C308" t="s">
        <v>45</v>
      </c>
      <c r="D308" t="s">
        <v>432</v>
      </c>
      <c r="E308" s="24">
        <v>1</v>
      </c>
      <c r="F308" s="25">
        <v>650</v>
      </c>
      <c r="G308" s="26" t="s">
        <v>5</v>
      </c>
      <c r="H308" t="s">
        <v>8</v>
      </c>
    </row>
    <row r="309" spans="1:8" x14ac:dyDescent="0.3">
      <c r="A309">
        <v>318</v>
      </c>
      <c r="B309" s="2">
        <v>46293</v>
      </c>
      <c r="C309" t="s">
        <v>392</v>
      </c>
      <c r="D309" t="s">
        <v>1</v>
      </c>
      <c r="E309" s="24">
        <v>1</v>
      </c>
      <c r="F309" s="25">
        <v>800</v>
      </c>
      <c r="G309" s="26" t="s">
        <v>394</v>
      </c>
      <c r="H309" t="s">
        <v>393</v>
      </c>
    </row>
    <row r="310" spans="1:8" x14ac:dyDescent="0.3">
      <c r="A310">
        <v>319</v>
      </c>
      <c r="B310" s="2">
        <v>46293</v>
      </c>
      <c r="C310" t="s">
        <v>45</v>
      </c>
      <c r="D310" t="s">
        <v>432</v>
      </c>
      <c r="E310" s="24">
        <v>1</v>
      </c>
      <c r="F310" s="25">
        <v>650</v>
      </c>
      <c r="G310" s="26" t="s">
        <v>5</v>
      </c>
      <c r="H310" t="s">
        <v>8</v>
      </c>
    </row>
    <row r="311" spans="1:8" x14ac:dyDescent="0.3">
      <c r="A311">
        <v>320</v>
      </c>
      <c r="B311" s="2">
        <v>46293</v>
      </c>
      <c r="C311" t="s">
        <v>162</v>
      </c>
      <c r="D311" t="s">
        <v>6</v>
      </c>
      <c r="E311" s="24">
        <v>1</v>
      </c>
      <c r="F311" s="25">
        <v>950</v>
      </c>
      <c r="G311" s="26" t="s">
        <v>44</v>
      </c>
      <c r="H311">
        <v>183345518</v>
      </c>
    </row>
    <row r="312" spans="1:8" x14ac:dyDescent="0.3">
      <c r="A312">
        <v>321</v>
      </c>
      <c r="B312" s="2">
        <v>46293</v>
      </c>
      <c r="C312" t="s">
        <v>45</v>
      </c>
      <c r="D312" t="s">
        <v>432</v>
      </c>
      <c r="E312" s="24">
        <v>1</v>
      </c>
      <c r="F312" s="25">
        <v>550</v>
      </c>
      <c r="G312" s="26" t="s">
        <v>50</v>
      </c>
      <c r="H312" t="s">
        <v>8</v>
      </c>
    </row>
    <row r="313" spans="1:8" x14ac:dyDescent="0.3">
      <c r="A313">
        <v>322</v>
      </c>
      <c r="B313" s="2">
        <v>46293</v>
      </c>
      <c r="C313" t="s">
        <v>161</v>
      </c>
      <c r="D313" t="s">
        <v>432</v>
      </c>
      <c r="E313" s="24">
        <v>0</v>
      </c>
      <c r="F313" s="25">
        <v>480</v>
      </c>
      <c r="G313" s="26" t="s">
        <v>275</v>
      </c>
      <c r="H313" t="s">
        <v>8</v>
      </c>
    </row>
    <row r="314" spans="1:8" x14ac:dyDescent="0.3">
      <c r="A314">
        <v>323</v>
      </c>
      <c r="B314" s="2">
        <v>46293</v>
      </c>
      <c r="C314" t="s">
        <v>149</v>
      </c>
      <c r="D314" t="s">
        <v>1</v>
      </c>
      <c r="E314" s="24">
        <v>1</v>
      </c>
      <c r="F314" s="25">
        <v>950</v>
      </c>
      <c r="G314" s="26" t="s">
        <v>44</v>
      </c>
      <c r="H314" t="s">
        <v>395</v>
      </c>
    </row>
    <row r="315" spans="1:8" x14ac:dyDescent="0.3">
      <c r="A315">
        <v>324</v>
      </c>
      <c r="B315" s="2">
        <v>46293</v>
      </c>
      <c r="C315" t="s">
        <v>300</v>
      </c>
      <c r="D315" t="s">
        <v>432</v>
      </c>
      <c r="E315" s="24">
        <v>1</v>
      </c>
      <c r="F315" s="25">
        <v>1130</v>
      </c>
      <c r="G315" s="26" t="s">
        <v>434</v>
      </c>
      <c r="H315" t="s">
        <v>8</v>
      </c>
    </row>
    <row r="316" spans="1:8" x14ac:dyDescent="0.3">
      <c r="A316">
        <v>325</v>
      </c>
      <c r="B316" s="2">
        <v>46293</v>
      </c>
      <c r="C316" t="s">
        <v>138</v>
      </c>
      <c r="D316" t="s">
        <v>1</v>
      </c>
      <c r="E316" s="24">
        <v>2</v>
      </c>
      <c r="F316" s="25">
        <v>1750</v>
      </c>
      <c r="G316" s="26" t="s">
        <v>140</v>
      </c>
      <c r="H316" t="s">
        <v>396</v>
      </c>
    </row>
    <row r="317" spans="1:8" x14ac:dyDescent="0.3">
      <c r="A317">
        <v>326</v>
      </c>
      <c r="B317" s="2">
        <v>46293</v>
      </c>
      <c r="C317" t="s">
        <v>88</v>
      </c>
      <c r="D317" t="s">
        <v>1</v>
      </c>
      <c r="E317" s="24">
        <v>1</v>
      </c>
      <c r="F317" s="25">
        <v>950</v>
      </c>
      <c r="G317" s="26" t="s">
        <v>44</v>
      </c>
      <c r="H317" t="s">
        <v>397</v>
      </c>
    </row>
    <row r="318" spans="1:8" x14ac:dyDescent="0.3">
      <c r="A318">
        <v>327</v>
      </c>
      <c r="B318" s="2">
        <v>46293</v>
      </c>
      <c r="C318" t="s">
        <v>398</v>
      </c>
      <c r="D318" t="s">
        <v>1</v>
      </c>
      <c r="E318" s="24">
        <v>4</v>
      </c>
      <c r="F318" s="25">
        <v>3800</v>
      </c>
      <c r="G318" s="26" t="s">
        <v>401</v>
      </c>
      <c r="H318" t="s">
        <v>399</v>
      </c>
    </row>
    <row r="319" spans="1:8" x14ac:dyDescent="0.3">
      <c r="A319">
        <v>328</v>
      </c>
      <c r="B319" s="2">
        <v>46293</v>
      </c>
      <c r="C319" t="s">
        <v>402</v>
      </c>
      <c r="D319" t="s">
        <v>1</v>
      </c>
      <c r="E319" s="24">
        <v>2</v>
      </c>
      <c r="F319" s="25">
        <v>1750</v>
      </c>
      <c r="G319" s="26" t="s">
        <v>293</v>
      </c>
      <c r="H319" t="s">
        <v>403</v>
      </c>
    </row>
    <row r="320" spans="1:8" x14ac:dyDescent="0.3">
      <c r="A320">
        <v>329</v>
      </c>
      <c r="B320" s="2">
        <v>46293</v>
      </c>
      <c r="C320" t="s">
        <v>404</v>
      </c>
      <c r="D320" t="s">
        <v>432</v>
      </c>
      <c r="E320" s="24">
        <v>1</v>
      </c>
      <c r="F320" s="25">
        <v>650</v>
      </c>
      <c r="G320" s="26" t="s">
        <v>5</v>
      </c>
      <c r="H320" t="s">
        <v>8</v>
      </c>
    </row>
    <row r="321" spans="1:8" x14ac:dyDescent="0.3">
      <c r="A321">
        <v>330</v>
      </c>
      <c r="B321" s="2">
        <v>46293</v>
      </c>
      <c r="C321" t="s">
        <v>405</v>
      </c>
      <c r="D321" t="s">
        <v>432</v>
      </c>
      <c r="E321" s="24">
        <v>0</v>
      </c>
      <c r="F321" s="25">
        <v>960</v>
      </c>
      <c r="G321" s="26" t="s">
        <v>407</v>
      </c>
      <c r="H321" t="s">
        <v>8</v>
      </c>
    </row>
    <row r="322" spans="1:8" x14ac:dyDescent="0.3">
      <c r="A322">
        <v>331</v>
      </c>
      <c r="B322" s="2">
        <v>46294</v>
      </c>
      <c r="C322" t="s">
        <v>169</v>
      </c>
      <c r="D322" t="s">
        <v>432</v>
      </c>
      <c r="E322" s="24">
        <v>1</v>
      </c>
      <c r="F322" s="25">
        <v>650</v>
      </c>
      <c r="G322" s="26" t="s">
        <v>5</v>
      </c>
      <c r="H322" t="s">
        <v>8</v>
      </c>
    </row>
    <row r="323" spans="1:8" x14ac:dyDescent="0.3">
      <c r="A323">
        <v>332</v>
      </c>
      <c r="B323" s="2">
        <v>46294</v>
      </c>
      <c r="C323" t="s">
        <v>12</v>
      </c>
      <c r="D323" t="s">
        <v>432</v>
      </c>
      <c r="E323" s="24">
        <v>4</v>
      </c>
      <c r="F323" s="25">
        <v>2100</v>
      </c>
      <c r="G323" s="26" t="s">
        <v>62</v>
      </c>
      <c r="H323" t="s">
        <v>8</v>
      </c>
    </row>
    <row r="324" spans="1:8" x14ac:dyDescent="0.3">
      <c r="A324">
        <v>333</v>
      </c>
      <c r="B324" s="2">
        <v>46294</v>
      </c>
      <c r="C324" t="s">
        <v>408</v>
      </c>
      <c r="D324" t="s">
        <v>1</v>
      </c>
      <c r="E324" s="24">
        <v>2</v>
      </c>
      <c r="F324" s="25">
        <v>2860</v>
      </c>
      <c r="G324" s="26" t="s">
        <v>448</v>
      </c>
      <c r="H324" t="s">
        <v>409</v>
      </c>
    </row>
    <row r="325" spans="1:8" x14ac:dyDescent="0.3">
      <c r="A325">
        <v>334</v>
      </c>
      <c r="B325" s="2">
        <v>46294</v>
      </c>
      <c r="C325" t="s">
        <v>358</v>
      </c>
      <c r="D325" t="s">
        <v>432</v>
      </c>
      <c r="E325" s="24">
        <v>1</v>
      </c>
      <c r="F325" s="25">
        <v>650</v>
      </c>
      <c r="G325" s="26" t="s">
        <v>5</v>
      </c>
      <c r="H325" t="s">
        <v>8</v>
      </c>
    </row>
    <row r="326" spans="1:8" x14ac:dyDescent="0.3">
      <c r="A326">
        <v>335</v>
      </c>
      <c r="B326" s="2">
        <v>46294</v>
      </c>
      <c r="C326" t="s">
        <v>412</v>
      </c>
      <c r="D326" t="s">
        <v>432</v>
      </c>
      <c r="E326" s="24">
        <v>3</v>
      </c>
      <c r="F326" s="25">
        <v>1950</v>
      </c>
      <c r="G326" s="26" t="s">
        <v>200</v>
      </c>
      <c r="H326" t="s">
        <v>8</v>
      </c>
    </row>
    <row r="327" spans="1:8" x14ac:dyDescent="0.3">
      <c r="A327">
        <v>336</v>
      </c>
      <c r="B327" s="2">
        <v>46294</v>
      </c>
      <c r="C327" t="s">
        <v>413</v>
      </c>
      <c r="D327" t="s">
        <v>1</v>
      </c>
      <c r="E327" s="24">
        <v>1</v>
      </c>
      <c r="F327" s="25">
        <v>1430</v>
      </c>
      <c r="G327" s="26" t="s">
        <v>434</v>
      </c>
      <c r="H327" t="s">
        <v>414</v>
      </c>
    </row>
    <row r="328" spans="1:8" x14ac:dyDescent="0.3">
      <c r="A328">
        <v>337</v>
      </c>
      <c r="B328" s="2">
        <v>46294</v>
      </c>
      <c r="C328" t="s">
        <v>415</v>
      </c>
      <c r="D328" t="s">
        <v>1</v>
      </c>
      <c r="E328" s="24">
        <v>3</v>
      </c>
      <c r="F328" s="25">
        <v>2850</v>
      </c>
      <c r="G328" s="26" t="s">
        <v>417</v>
      </c>
      <c r="H328" t="s">
        <v>416</v>
      </c>
    </row>
    <row r="329" spans="1:8" x14ac:dyDescent="0.3">
      <c r="A329">
        <v>338</v>
      </c>
      <c r="B329" s="2">
        <v>46294</v>
      </c>
      <c r="C329" t="s">
        <v>418</v>
      </c>
      <c r="D329" t="s">
        <v>1</v>
      </c>
      <c r="E329" s="24">
        <v>1</v>
      </c>
      <c r="F329" s="25">
        <v>950</v>
      </c>
      <c r="G329" s="26" t="s">
        <v>44</v>
      </c>
      <c r="H329" t="s">
        <v>419</v>
      </c>
    </row>
    <row r="330" spans="1:8" x14ac:dyDescent="0.3">
      <c r="A330">
        <v>339</v>
      </c>
      <c r="B330" s="2">
        <v>46294</v>
      </c>
      <c r="C330" t="s">
        <v>300</v>
      </c>
      <c r="D330" t="s">
        <v>432</v>
      </c>
      <c r="E330" s="24">
        <v>1</v>
      </c>
      <c r="F330" s="25">
        <v>1130</v>
      </c>
      <c r="G330" s="26" t="s">
        <v>449</v>
      </c>
      <c r="H330" t="s">
        <v>8</v>
      </c>
    </row>
    <row r="331" spans="1:8" x14ac:dyDescent="0.3">
      <c r="A331">
        <v>340</v>
      </c>
      <c r="B331" s="2">
        <v>46294</v>
      </c>
      <c r="C331" t="s">
        <v>358</v>
      </c>
      <c r="D331" t="s">
        <v>432</v>
      </c>
      <c r="E331" s="24">
        <v>0</v>
      </c>
      <c r="F331" s="25">
        <v>960</v>
      </c>
      <c r="G331" s="26" t="s">
        <v>421</v>
      </c>
      <c r="H331" t="s">
        <v>8</v>
      </c>
    </row>
    <row r="332" spans="1:8" x14ac:dyDescent="0.3">
      <c r="A332">
        <v>341</v>
      </c>
      <c r="B332" s="2">
        <v>46294</v>
      </c>
      <c r="C332" t="s">
        <v>161</v>
      </c>
      <c r="D332" t="s">
        <v>432</v>
      </c>
      <c r="E332" s="24">
        <v>1</v>
      </c>
      <c r="F332" s="25">
        <v>650</v>
      </c>
      <c r="G332" s="26" t="s">
        <v>50</v>
      </c>
      <c r="H332" t="s">
        <v>8</v>
      </c>
    </row>
    <row r="333" spans="1:8" x14ac:dyDescent="0.3">
      <c r="A333">
        <v>342</v>
      </c>
      <c r="B333" s="2">
        <v>46294</v>
      </c>
      <c r="C333" t="s">
        <v>422</v>
      </c>
      <c r="D333" t="s">
        <v>6</v>
      </c>
      <c r="E333" s="24">
        <v>1</v>
      </c>
      <c r="F333" s="25">
        <v>650</v>
      </c>
      <c r="G333" s="26" t="s">
        <v>90</v>
      </c>
      <c r="H333">
        <v>183382094</v>
      </c>
    </row>
    <row r="334" spans="1:8" x14ac:dyDescent="0.3">
      <c r="A334">
        <v>343</v>
      </c>
      <c r="B334" s="2">
        <v>46294</v>
      </c>
      <c r="C334" t="s">
        <v>45</v>
      </c>
      <c r="D334" t="s">
        <v>432</v>
      </c>
      <c r="E334" s="24">
        <v>1</v>
      </c>
      <c r="F334" s="25">
        <v>550</v>
      </c>
      <c r="G334" s="26" t="s">
        <v>50</v>
      </c>
      <c r="H334" t="s">
        <v>8</v>
      </c>
    </row>
    <row r="335" spans="1:8" x14ac:dyDescent="0.3">
      <c r="A335">
        <v>344</v>
      </c>
      <c r="B335" s="2">
        <v>46294</v>
      </c>
      <c r="C335" t="s">
        <v>66</v>
      </c>
      <c r="D335" t="s">
        <v>432</v>
      </c>
      <c r="E335" s="24">
        <v>1</v>
      </c>
      <c r="F335" s="25">
        <v>650</v>
      </c>
      <c r="G335" s="26" t="s">
        <v>44</v>
      </c>
      <c r="H335" t="s">
        <v>8</v>
      </c>
    </row>
    <row r="336" spans="1:8" x14ac:dyDescent="0.3">
      <c r="A336">
        <v>345</v>
      </c>
      <c r="B336" s="2">
        <v>46294</v>
      </c>
      <c r="C336" t="s">
        <v>423</v>
      </c>
      <c r="D336" t="s">
        <v>1</v>
      </c>
      <c r="E336" s="24">
        <v>2</v>
      </c>
      <c r="F336" s="25">
        <v>1900</v>
      </c>
      <c r="G336" s="26" t="s">
        <v>193</v>
      </c>
      <c r="H336" t="s">
        <v>424</v>
      </c>
    </row>
    <row r="337" spans="1:8" x14ac:dyDescent="0.3">
      <c r="A337">
        <v>346</v>
      </c>
      <c r="B337" s="2">
        <v>46294</v>
      </c>
      <c r="C337" t="s">
        <v>45</v>
      </c>
      <c r="D337" t="s">
        <v>432</v>
      </c>
      <c r="E337" s="24">
        <v>1</v>
      </c>
      <c r="F337" s="25">
        <v>650</v>
      </c>
      <c r="G337" s="26" t="s">
        <v>44</v>
      </c>
      <c r="H33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September Report</vt:lpstr>
      <vt:lpstr>September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Sameela Mirando|Purchasing Executive</dc:creator>
  <cp:lastModifiedBy>Sameela Mirando|Purchasing Executive</cp:lastModifiedBy>
  <dcterms:created xsi:type="dcterms:W3CDTF">2015-06-05T18:17:20Z</dcterms:created>
  <dcterms:modified xsi:type="dcterms:W3CDTF">2026-09-30T05:49:01Z</dcterms:modified>
</cp:coreProperties>
</file>